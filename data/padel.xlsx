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eray\Downloads\"/>
    </mc:Choice>
  </mc:AlternateContent>
  <xr:revisionPtr revIDLastSave="0" documentId="13_ncr:1_{720FA144-8368-4CFB-98C1-F0A15E8977EE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Ayuda" sheetId="1" r:id="rId1"/>
    <sheet name="Jugadores" sheetId="2" r:id="rId2"/>
    <sheet name="Partidos" sheetId="3" r:id="rId3"/>
    <sheet name="Ranking" sheetId="4" r:id="rId4"/>
    <sheet name="Ranking_Temporada" sheetId="5" r:id="rId5"/>
    <sheet name="Parejas" sheetId="6" r:id="rId6"/>
    <sheet name="Rivales" sheetId="7" r:id="rId7"/>
    <sheet name="Resumen" sheetId="8" r:id="rId8"/>
    <sheet name="Consulta" sheetId="9" r:id="rId9"/>
    <sheet name="Movil_Ranking" sheetId="10" r:id="rId10"/>
    <sheet name="Previa" sheetId="11" r:id="rId11"/>
  </sheets>
  <definedNames>
    <definedName name="_xlnm._FilterDatabase" localSheetId="1" hidden="1">Jugadores!$A$1:$B$61</definedName>
    <definedName name="_xlnm._FilterDatabase" localSheetId="2" hidden="1">Partidos!$A$1:$AB$501</definedName>
    <definedName name="_xlnm._FilterDatabase" localSheetId="3" hidden="1">Ranking!$A$1:$J$61</definedName>
    <definedName name="PlayersList">Jugadores!$B$2:$B$61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A11" i="6"/>
  <c r="A10" i="6"/>
  <c r="I10" i="6" s="1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4" i="10"/>
  <c r="AA2" i="3"/>
  <c r="AB2" i="3" s="1"/>
  <c r="A16" i="11"/>
  <c r="E10" i="11"/>
  <c r="D10" i="11"/>
  <c r="E9" i="11"/>
  <c r="D9" i="11"/>
  <c r="E7" i="11"/>
  <c r="D7" i="11"/>
  <c r="E6" i="11"/>
  <c r="D6" i="11"/>
  <c r="G6" i="9"/>
  <c r="F6" i="9"/>
  <c r="E6" i="9"/>
  <c r="D6" i="9"/>
  <c r="C6" i="9"/>
  <c r="B6" i="9"/>
  <c r="A6" i="9"/>
  <c r="H6" i="9" s="1"/>
  <c r="A65" i="7"/>
  <c r="C65" i="7" s="1"/>
  <c r="A64" i="7"/>
  <c r="K64" i="7" s="1"/>
  <c r="A63" i="7"/>
  <c r="B63" i="7" s="1"/>
  <c r="A62" i="7"/>
  <c r="C62" i="7" s="1"/>
  <c r="A61" i="7"/>
  <c r="K61" i="7" s="1"/>
  <c r="A60" i="7"/>
  <c r="K60" i="7" s="1"/>
  <c r="A59" i="7"/>
  <c r="A58" i="7"/>
  <c r="C58" i="7" s="1"/>
  <c r="A57" i="7"/>
  <c r="K57" i="7" s="1"/>
  <c r="B56" i="7"/>
  <c r="A56" i="7"/>
  <c r="K56" i="7" s="1"/>
  <c r="A55" i="7"/>
  <c r="B55" i="7" s="1"/>
  <c r="A54" i="7"/>
  <c r="C54" i="7" s="1"/>
  <c r="A53" i="7"/>
  <c r="K53" i="7" s="1"/>
  <c r="A52" i="7"/>
  <c r="K52" i="7" s="1"/>
  <c r="A51" i="7"/>
  <c r="K51" i="7" s="1"/>
  <c r="A50" i="7"/>
  <c r="K50" i="7" s="1"/>
  <c r="A49" i="7"/>
  <c r="C49" i="7" s="1"/>
  <c r="A48" i="7"/>
  <c r="K48" i="7" s="1"/>
  <c r="A47" i="7"/>
  <c r="B47" i="7" s="1"/>
  <c r="A46" i="7"/>
  <c r="C46" i="7" s="1"/>
  <c r="A45" i="7"/>
  <c r="K45" i="7" s="1"/>
  <c r="A44" i="7"/>
  <c r="K44" i="7" s="1"/>
  <c r="A43" i="7"/>
  <c r="K43" i="7" s="1"/>
  <c r="A42" i="7"/>
  <c r="K42" i="7" s="1"/>
  <c r="A41" i="7"/>
  <c r="A40" i="7"/>
  <c r="K40" i="7" s="1"/>
  <c r="A39" i="7"/>
  <c r="B39" i="7" s="1"/>
  <c r="A38" i="7"/>
  <c r="C38" i="7" s="1"/>
  <c r="A37" i="7"/>
  <c r="K37" i="7" s="1"/>
  <c r="B36" i="7"/>
  <c r="A36" i="7"/>
  <c r="K36" i="7" s="1"/>
  <c r="A35" i="7"/>
  <c r="G35" i="7" s="1"/>
  <c r="A34" i="7"/>
  <c r="K34" i="7" s="1"/>
  <c r="A33" i="7"/>
  <c r="C33" i="7" s="1"/>
  <c r="A32" i="7"/>
  <c r="K32" i="7" s="1"/>
  <c r="A31" i="7"/>
  <c r="B31" i="7" s="1"/>
  <c r="A30" i="7"/>
  <c r="C30" i="7" s="1"/>
  <c r="A29" i="7"/>
  <c r="K29" i="7" s="1"/>
  <c r="A28" i="7"/>
  <c r="K28" i="7" s="1"/>
  <c r="A27" i="7"/>
  <c r="B26" i="7"/>
  <c r="A26" i="7"/>
  <c r="K26" i="7" s="1"/>
  <c r="A25" i="7"/>
  <c r="A24" i="7"/>
  <c r="K24" i="7" s="1"/>
  <c r="A23" i="7"/>
  <c r="C23" i="7" s="1"/>
  <c r="A22" i="7"/>
  <c r="C22" i="7" s="1"/>
  <c r="A20" i="7"/>
  <c r="E20" i="7" s="1"/>
  <c r="A14" i="7"/>
  <c r="A16" i="7"/>
  <c r="G16" i="7" s="1"/>
  <c r="A17" i="7"/>
  <c r="A6" i="7"/>
  <c r="A10" i="7"/>
  <c r="G10" i="7" s="1"/>
  <c r="A15" i="7"/>
  <c r="G15" i="7" s="1"/>
  <c r="A19" i="7"/>
  <c r="A13" i="7"/>
  <c r="A21" i="7"/>
  <c r="A9" i="7"/>
  <c r="G9" i="7" s="1"/>
  <c r="A12" i="7"/>
  <c r="F12" i="7" s="1"/>
  <c r="A8" i="7"/>
  <c r="A18" i="7"/>
  <c r="G18" i="7" s="1"/>
  <c r="A7" i="7"/>
  <c r="G7" i="7" s="1"/>
  <c r="A11" i="7"/>
  <c r="A65" i="6"/>
  <c r="I65" i="6" s="1"/>
  <c r="A64" i="6"/>
  <c r="I64" i="6" s="1"/>
  <c r="A63" i="6"/>
  <c r="F63" i="6" s="1"/>
  <c r="A62" i="6"/>
  <c r="K62" i="6" s="1"/>
  <c r="A61" i="6"/>
  <c r="A60" i="6"/>
  <c r="I60" i="6" s="1"/>
  <c r="A59" i="6"/>
  <c r="J59" i="6" s="1"/>
  <c r="A58" i="6"/>
  <c r="H58" i="6" s="1"/>
  <c r="A57" i="6"/>
  <c r="L57" i="6" s="1"/>
  <c r="A56" i="6"/>
  <c r="I56" i="6" s="1"/>
  <c r="A55" i="6"/>
  <c r="F55" i="6" s="1"/>
  <c r="A54" i="6"/>
  <c r="K54" i="6" s="1"/>
  <c r="A53" i="6"/>
  <c r="A52" i="6"/>
  <c r="I52" i="6" s="1"/>
  <c r="A51" i="6"/>
  <c r="J51" i="6" s="1"/>
  <c r="A50" i="6"/>
  <c r="I50" i="6" s="1"/>
  <c r="A49" i="6"/>
  <c r="L49" i="6" s="1"/>
  <c r="A48" i="6"/>
  <c r="I48" i="6" s="1"/>
  <c r="A47" i="6"/>
  <c r="F47" i="6" s="1"/>
  <c r="A46" i="6"/>
  <c r="K46" i="6" s="1"/>
  <c r="A45" i="6"/>
  <c r="I45" i="6" s="1"/>
  <c r="A44" i="6"/>
  <c r="F44" i="6" s="1"/>
  <c r="A43" i="6"/>
  <c r="J43" i="6" s="1"/>
  <c r="A42" i="6"/>
  <c r="A41" i="6"/>
  <c r="L41" i="6" s="1"/>
  <c r="A40" i="6"/>
  <c r="I40" i="6" s="1"/>
  <c r="A39" i="6"/>
  <c r="F39" i="6" s="1"/>
  <c r="A38" i="6"/>
  <c r="K38" i="6" s="1"/>
  <c r="A37" i="6"/>
  <c r="A36" i="6"/>
  <c r="D36" i="6" s="1"/>
  <c r="A35" i="6"/>
  <c r="J35" i="6" s="1"/>
  <c r="A34" i="6"/>
  <c r="A33" i="6"/>
  <c r="A32" i="6"/>
  <c r="I32" i="6" s="1"/>
  <c r="A31" i="6"/>
  <c r="F31" i="6" s="1"/>
  <c r="A30" i="6"/>
  <c r="D30" i="6" s="1"/>
  <c r="A29" i="6"/>
  <c r="A28" i="6"/>
  <c r="I28" i="6" s="1"/>
  <c r="A27" i="6"/>
  <c r="L27" i="6" s="1"/>
  <c r="A26" i="6"/>
  <c r="D26" i="6" s="1"/>
  <c r="A25" i="6"/>
  <c r="K25" i="6" s="1"/>
  <c r="A24" i="6"/>
  <c r="I24" i="6" s="1"/>
  <c r="A23" i="6"/>
  <c r="L23" i="6" s="1"/>
  <c r="A22" i="6"/>
  <c r="L22" i="6" s="1"/>
  <c r="A6" i="6"/>
  <c r="J6" i="6" s="1"/>
  <c r="A21" i="6"/>
  <c r="J21" i="6" s="1"/>
  <c r="A17" i="6"/>
  <c r="A20" i="6"/>
  <c r="B20" i="6" s="1"/>
  <c r="A16" i="6"/>
  <c r="F16" i="6" s="1"/>
  <c r="A8" i="6"/>
  <c r="A13" i="6"/>
  <c r="F13" i="6" s="1"/>
  <c r="A19" i="6"/>
  <c r="I19" i="6" s="1"/>
  <c r="A18" i="6"/>
  <c r="G18" i="6" s="1"/>
  <c r="A15" i="6"/>
  <c r="A7" i="6"/>
  <c r="I7" i="6" s="1"/>
  <c r="A9" i="6"/>
  <c r="G9" i="6" s="1"/>
  <c r="A14" i="6"/>
  <c r="F14" i="6" s="1"/>
  <c r="A12" i="6"/>
  <c r="I12" i="6" s="1"/>
  <c r="C61" i="5"/>
  <c r="I58" i="5"/>
  <c r="A58" i="5"/>
  <c r="G55" i="5"/>
  <c r="C49" i="5"/>
  <c r="E48" i="5"/>
  <c r="H33" i="5"/>
  <c r="E28" i="5"/>
  <c r="A26" i="5"/>
  <c r="C25" i="5"/>
  <c r="I22" i="5"/>
  <c r="A22" i="5"/>
  <c r="M1" i="5"/>
  <c r="M61" i="4"/>
  <c r="L61" i="4"/>
  <c r="K61" i="4"/>
  <c r="F61" i="4"/>
  <c r="E61" i="4"/>
  <c r="D61" i="4"/>
  <c r="C61" i="4"/>
  <c r="B61" i="4"/>
  <c r="B63" i="5" s="1"/>
  <c r="G63" i="5" s="1"/>
  <c r="J60" i="4"/>
  <c r="B60" i="4"/>
  <c r="M59" i="4"/>
  <c r="L59" i="4"/>
  <c r="H59" i="4"/>
  <c r="G59" i="4"/>
  <c r="F59" i="4"/>
  <c r="E59" i="4"/>
  <c r="D59" i="4"/>
  <c r="B59" i="4"/>
  <c r="B61" i="5" s="1"/>
  <c r="I61" i="5" s="1"/>
  <c r="B58" i="4"/>
  <c r="I57" i="4"/>
  <c r="G57" i="4"/>
  <c r="B57" i="4"/>
  <c r="B59" i="5" s="1"/>
  <c r="A57" i="4"/>
  <c r="M56" i="4"/>
  <c r="L56" i="4"/>
  <c r="K56" i="4"/>
  <c r="I56" i="4"/>
  <c r="G56" i="4"/>
  <c r="F56" i="4"/>
  <c r="E56" i="4"/>
  <c r="D56" i="4"/>
  <c r="C56" i="4"/>
  <c r="B56" i="4"/>
  <c r="B58" i="5" s="1"/>
  <c r="G58" i="5" s="1"/>
  <c r="A56" i="4"/>
  <c r="L55" i="4"/>
  <c r="K55" i="4"/>
  <c r="I55" i="4"/>
  <c r="H55" i="4"/>
  <c r="D55" i="4"/>
  <c r="C55" i="4"/>
  <c r="B55" i="4"/>
  <c r="B57" i="5" s="1"/>
  <c r="A55" i="4"/>
  <c r="M54" i="4"/>
  <c r="L54" i="4"/>
  <c r="K54" i="4"/>
  <c r="I54" i="4"/>
  <c r="H54" i="4"/>
  <c r="G54" i="4"/>
  <c r="F54" i="4"/>
  <c r="E54" i="4"/>
  <c r="D54" i="4"/>
  <c r="C54" i="4"/>
  <c r="B54" i="4"/>
  <c r="B56" i="5" s="1"/>
  <c r="C56" i="5" s="1"/>
  <c r="A54" i="4"/>
  <c r="M53" i="4"/>
  <c r="K53" i="4"/>
  <c r="F53" i="4"/>
  <c r="E53" i="4"/>
  <c r="C53" i="4"/>
  <c r="B53" i="4"/>
  <c r="B55" i="5" s="1"/>
  <c r="E55" i="5" s="1"/>
  <c r="B52" i="4"/>
  <c r="M51" i="4"/>
  <c r="L51" i="4"/>
  <c r="H51" i="4"/>
  <c r="G51" i="4"/>
  <c r="F51" i="4"/>
  <c r="E51" i="4"/>
  <c r="D51" i="4"/>
  <c r="B51" i="4"/>
  <c r="B53" i="5" s="1"/>
  <c r="C53" i="5" s="1"/>
  <c r="B50" i="4"/>
  <c r="I49" i="4"/>
  <c r="G49" i="4"/>
  <c r="B49" i="4"/>
  <c r="B51" i="5" s="1"/>
  <c r="A49" i="4"/>
  <c r="M48" i="4"/>
  <c r="L48" i="4"/>
  <c r="K48" i="4"/>
  <c r="I48" i="4"/>
  <c r="G48" i="4"/>
  <c r="F48" i="4"/>
  <c r="E48" i="4"/>
  <c r="D48" i="4"/>
  <c r="C48" i="4"/>
  <c r="B48" i="4"/>
  <c r="B50" i="5" s="1"/>
  <c r="G50" i="5" s="1"/>
  <c r="A48" i="4"/>
  <c r="L47" i="4"/>
  <c r="K47" i="4"/>
  <c r="I47" i="4"/>
  <c r="H47" i="4"/>
  <c r="F47" i="4"/>
  <c r="D47" i="4"/>
  <c r="C47" i="4"/>
  <c r="B47" i="4"/>
  <c r="B49" i="5" s="1"/>
  <c r="A47" i="4"/>
  <c r="M46" i="4"/>
  <c r="L46" i="4"/>
  <c r="K46" i="4"/>
  <c r="I46" i="4"/>
  <c r="H46" i="4"/>
  <c r="G46" i="4"/>
  <c r="F46" i="4"/>
  <c r="E46" i="4"/>
  <c r="D46" i="4"/>
  <c r="C46" i="4"/>
  <c r="B46" i="4"/>
  <c r="B48" i="5" s="1"/>
  <c r="A46" i="4"/>
  <c r="M45" i="4"/>
  <c r="K45" i="4"/>
  <c r="F45" i="4"/>
  <c r="E45" i="4"/>
  <c r="C45" i="4"/>
  <c r="B45" i="4"/>
  <c r="M44" i="4"/>
  <c r="K44" i="4"/>
  <c r="J44" i="4"/>
  <c r="G44" i="4"/>
  <c r="E44" i="4"/>
  <c r="C44" i="4"/>
  <c r="B44" i="4"/>
  <c r="A44" i="4"/>
  <c r="H43" i="4"/>
  <c r="G43" i="4"/>
  <c r="F43" i="4"/>
  <c r="D43" i="4"/>
  <c r="B43" i="4"/>
  <c r="L43" i="4" s="1"/>
  <c r="M42" i="4"/>
  <c r="K42" i="4"/>
  <c r="J42" i="4"/>
  <c r="I42" i="4"/>
  <c r="G42" i="4"/>
  <c r="E42" i="4"/>
  <c r="D42" i="4"/>
  <c r="C42" i="4"/>
  <c r="B42" i="4"/>
  <c r="A42" i="4"/>
  <c r="J41" i="4"/>
  <c r="H41" i="4"/>
  <c r="B41" i="4"/>
  <c r="L41" i="4" s="1"/>
  <c r="M40" i="4"/>
  <c r="K40" i="4"/>
  <c r="I40" i="4"/>
  <c r="G40" i="4"/>
  <c r="E40" i="4"/>
  <c r="D40" i="4"/>
  <c r="C40" i="4"/>
  <c r="B40" i="4"/>
  <c r="A40" i="4"/>
  <c r="L39" i="4"/>
  <c r="I39" i="4"/>
  <c r="H39" i="4"/>
  <c r="G39" i="4"/>
  <c r="D39" i="4"/>
  <c r="C39" i="4"/>
  <c r="B39" i="4"/>
  <c r="J39" i="4" s="1"/>
  <c r="M38" i="4"/>
  <c r="L38" i="4"/>
  <c r="K38" i="4"/>
  <c r="I38" i="4"/>
  <c r="H38" i="4"/>
  <c r="G38" i="4"/>
  <c r="E38" i="4"/>
  <c r="D38" i="4"/>
  <c r="C38" i="4"/>
  <c r="B38" i="4"/>
  <c r="B40" i="5" s="1"/>
  <c r="A38" i="4"/>
  <c r="H37" i="4"/>
  <c r="F37" i="4"/>
  <c r="B37" i="4"/>
  <c r="B39" i="5" s="1"/>
  <c r="M36" i="4"/>
  <c r="K36" i="4"/>
  <c r="E36" i="4"/>
  <c r="C36" i="4"/>
  <c r="B36" i="4"/>
  <c r="B38" i="5" s="1"/>
  <c r="F38" i="5" s="1"/>
  <c r="B35" i="4"/>
  <c r="M34" i="4"/>
  <c r="L34" i="4"/>
  <c r="K34" i="4"/>
  <c r="I34" i="4"/>
  <c r="H34" i="4"/>
  <c r="G34" i="4"/>
  <c r="F34" i="4"/>
  <c r="E34" i="4"/>
  <c r="D34" i="4"/>
  <c r="C34" i="4"/>
  <c r="B34" i="4"/>
  <c r="B36" i="5" s="1"/>
  <c r="C36" i="5" s="1"/>
  <c r="A34" i="4"/>
  <c r="B33" i="4"/>
  <c r="K32" i="4"/>
  <c r="I32" i="4"/>
  <c r="G32" i="4"/>
  <c r="F32" i="4"/>
  <c r="C32" i="4"/>
  <c r="B32" i="4"/>
  <c r="B34" i="5" s="1"/>
  <c r="A34" i="5" s="1"/>
  <c r="A32" i="4"/>
  <c r="L31" i="4"/>
  <c r="K31" i="4"/>
  <c r="H31" i="4"/>
  <c r="G31" i="4"/>
  <c r="F31" i="4"/>
  <c r="D31" i="4"/>
  <c r="C31" i="4"/>
  <c r="B31" i="4"/>
  <c r="B33" i="5" s="1"/>
  <c r="M30" i="4"/>
  <c r="L30" i="4"/>
  <c r="K30" i="4"/>
  <c r="I30" i="4"/>
  <c r="H30" i="4"/>
  <c r="G30" i="4"/>
  <c r="E30" i="4"/>
  <c r="D30" i="4"/>
  <c r="C30" i="4"/>
  <c r="B30" i="4"/>
  <c r="B32" i="5" s="1"/>
  <c r="A30" i="4"/>
  <c r="M29" i="4"/>
  <c r="H29" i="4"/>
  <c r="F29" i="4"/>
  <c r="E29" i="4"/>
  <c r="B29" i="4"/>
  <c r="B31" i="5" s="1"/>
  <c r="M28" i="4"/>
  <c r="K28" i="4"/>
  <c r="G28" i="4"/>
  <c r="E28" i="4"/>
  <c r="C28" i="4"/>
  <c r="B28" i="4"/>
  <c r="B30" i="5" s="1"/>
  <c r="F30" i="5" s="1"/>
  <c r="J27" i="4"/>
  <c r="B27" i="4"/>
  <c r="M26" i="4"/>
  <c r="L26" i="4"/>
  <c r="K26" i="4"/>
  <c r="I26" i="4"/>
  <c r="H26" i="4"/>
  <c r="G26" i="4"/>
  <c r="F26" i="4"/>
  <c r="E26" i="4"/>
  <c r="D26" i="4"/>
  <c r="C26" i="4"/>
  <c r="B26" i="4"/>
  <c r="B28" i="5" s="1"/>
  <c r="G28" i="5" s="1"/>
  <c r="A26" i="4"/>
  <c r="B25" i="4"/>
  <c r="K24" i="4"/>
  <c r="I24" i="4"/>
  <c r="G24" i="4"/>
  <c r="F24" i="4"/>
  <c r="C24" i="4"/>
  <c r="B24" i="4"/>
  <c r="B26" i="5" s="1"/>
  <c r="A24" i="4"/>
  <c r="L23" i="4"/>
  <c r="K23" i="4"/>
  <c r="H23" i="4"/>
  <c r="G23" i="4"/>
  <c r="F23" i="4"/>
  <c r="D23" i="4"/>
  <c r="C23" i="4"/>
  <c r="B23" i="4"/>
  <c r="B25" i="5" s="1"/>
  <c r="E25" i="5" s="1"/>
  <c r="M22" i="4"/>
  <c r="L22" i="4"/>
  <c r="K22" i="4"/>
  <c r="I22" i="4"/>
  <c r="H22" i="4"/>
  <c r="G22" i="4"/>
  <c r="E22" i="4"/>
  <c r="D22" i="4"/>
  <c r="C22" i="4"/>
  <c r="B22" i="4"/>
  <c r="B24" i="5" s="1"/>
  <c r="A22" i="4"/>
  <c r="H21" i="4"/>
  <c r="F21" i="4"/>
  <c r="B21" i="4"/>
  <c r="B23" i="5" s="1"/>
  <c r="A23" i="5" s="1"/>
  <c r="M20" i="4"/>
  <c r="K20" i="4"/>
  <c r="G20" i="4"/>
  <c r="E20" i="4"/>
  <c r="C20" i="4"/>
  <c r="B20" i="4"/>
  <c r="B22" i="5" s="1"/>
  <c r="C22" i="5" s="1"/>
  <c r="B19" i="4"/>
  <c r="M18" i="4"/>
  <c r="L18" i="4"/>
  <c r="K18" i="4"/>
  <c r="I18" i="4"/>
  <c r="H18" i="4"/>
  <c r="G18" i="4"/>
  <c r="F18" i="4"/>
  <c r="E18" i="4"/>
  <c r="D18" i="4"/>
  <c r="C18" i="4"/>
  <c r="B18" i="4"/>
  <c r="B20" i="5" s="1"/>
  <c r="E20" i="5" s="1"/>
  <c r="A18" i="4"/>
  <c r="B12" i="4"/>
  <c r="B11" i="4"/>
  <c r="B18" i="5" s="1"/>
  <c r="B8" i="4"/>
  <c r="B10" i="4"/>
  <c r="B7" i="4"/>
  <c r="B17" i="4"/>
  <c r="B14" i="5" s="1"/>
  <c r="B4" i="4"/>
  <c r="B16" i="4"/>
  <c r="B12" i="5" s="1"/>
  <c r="B9" i="4"/>
  <c r="B13" i="4"/>
  <c r="B10" i="5" s="1"/>
  <c r="B5" i="4"/>
  <c r="B9" i="5" s="1"/>
  <c r="C2" i="4"/>
  <c r="B2" i="4"/>
  <c r="B8" i="5" s="1"/>
  <c r="B14" i="4"/>
  <c r="B7" i="5" s="1"/>
  <c r="B15" i="4"/>
  <c r="B6" i="5" s="1"/>
  <c r="B6" i="4"/>
  <c r="B3" i="4"/>
  <c r="B4" i="5" s="1"/>
  <c r="AB501" i="3"/>
  <c r="AA501" i="3"/>
  <c r="V501" i="3"/>
  <c r="N501" i="3"/>
  <c r="AB500" i="3"/>
  <c r="AA500" i="3"/>
  <c r="V500" i="3"/>
  <c r="S500" i="3"/>
  <c r="P500" i="3"/>
  <c r="N500" i="3"/>
  <c r="AB499" i="3"/>
  <c r="AA499" i="3"/>
  <c r="V499" i="3"/>
  <c r="O499" i="3"/>
  <c r="N499" i="3"/>
  <c r="AB498" i="3"/>
  <c r="AA498" i="3"/>
  <c r="V498" i="3"/>
  <c r="N498" i="3"/>
  <c r="P498" i="3" s="1"/>
  <c r="AB497" i="3"/>
  <c r="AA497" i="3"/>
  <c r="V497" i="3"/>
  <c r="S497" i="3"/>
  <c r="R497" i="3"/>
  <c r="Q497" i="3"/>
  <c r="P497" i="3"/>
  <c r="U497" i="3" s="1"/>
  <c r="O497" i="3"/>
  <c r="N497" i="3"/>
  <c r="AB496" i="3"/>
  <c r="AA496" i="3"/>
  <c r="V496" i="3"/>
  <c r="N496" i="3"/>
  <c r="AB495" i="3"/>
  <c r="AA495" i="3"/>
  <c r="V495" i="3"/>
  <c r="N495" i="3"/>
  <c r="AB494" i="3"/>
  <c r="AA494" i="3"/>
  <c r="V494" i="3"/>
  <c r="N494" i="3"/>
  <c r="AB493" i="3"/>
  <c r="AA493" i="3"/>
  <c r="V493" i="3"/>
  <c r="N493" i="3"/>
  <c r="AB492" i="3"/>
  <c r="AA492" i="3"/>
  <c r="V492" i="3"/>
  <c r="R492" i="3"/>
  <c r="P492" i="3"/>
  <c r="N492" i="3"/>
  <c r="AB491" i="3"/>
  <c r="AA491" i="3"/>
  <c r="V491" i="3"/>
  <c r="N491" i="3"/>
  <c r="O491" i="3" s="1"/>
  <c r="AB490" i="3"/>
  <c r="AA490" i="3"/>
  <c r="V490" i="3"/>
  <c r="N490" i="3"/>
  <c r="AB489" i="3"/>
  <c r="AA489" i="3"/>
  <c r="V489" i="3"/>
  <c r="S489" i="3"/>
  <c r="R489" i="3"/>
  <c r="Q489" i="3"/>
  <c r="P489" i="3"/>
  <c r="T489" i="3" s="1"/>
  <c r="O489" i="3"/>
  <c r="N489" i="3"/>
  <c r="AB488" i="3"/>
  <c r="AA488" i="3"/>
  <c r="V488" i="3"/>
  <c r="N488" i="3"/>
  <c r="S488" i="3" s="1"/>
  <c r="AB487" i="3"/>
  <c r="AA487" i="3"/>
  <c r="V487" i="3"/>
  <c r="S487" i="3"/>
  <c r="O487" i="3"/>
  <c r="N487" i="3"/>
  <c r="Q487" i="3" s="1"/>
  <c r="AB486" i="3"/>
  <c r="AA486" i="3"/>
  <c r="V486" i="3"/>
  <c r="N486" i="3"/>
  <c r="AB485" i="3"/>
  <c r="AA485" i="3"/>
  <c r="V485" i="3"/>
  <c r="Q485" i="3"/>
  <c r="P485" i="3"/>
  <c r="N485" i="3"/>
  <c r="AB484" i="3"/>
  <c r="AA484" i="3"/>
  <c r="V484" i="3"/>
  <c r="S484" i="3"/>
  <c r="R484" i="3"/>
  <c r="Q484" i="3"/>
  <c r="O484" i="3"/>
  <c r="N484" i="3"/>
  <c r="P484" i="3" s="1"/>
  <c r="U484" i="3" s="1"/>
  <c r="AB483" i="3"/>
  <c r="AA483" i="3"/>
  <c r="V483" i="3"/>
  <c r="N483" i="3"/>
  <c r="AB482" i="3"/>
  <c r="AA482" i="3"/>
  <c r="V482" i="3"/>
  <c r="R482" i="3"/>
  <c r="N482" i="3"/>
  <c r="AB481" i="3"/>
  <c r="AA481" i="3"/>
  <c r="V481" i="3"/>
  <c r="T481" i="3"/>
  <c r="S481" i="3"/>
  <c r="R481" i="3"/>
  <c r="Q481" i="3"/>
  <c r="P481" i="3"/>
  <c r="U481" i="3" s="1"/>
  <c r="O481" i="3"/>
  <c r="N481" i="3"/>
  <c r="AB480" i="3"/>
  <c r="AA480" i="3"/>
  <c r="V480" i="3"/>
  <c r="N480" i="3"/>
  <c r="AB479" i="3"/>
  <c r="AA479" i="3"/>
  <c r="V479" i="3"/>
  <c r="N479" i="3"/>
  <c r="AB478" i="3"/>
  <c r="AA478" i="3"/>
  <c r="V478" i="3"/>
  <c r="N478" i="3"/>
  <c r="AB477" i="3"/>
  <c r="AA477" i="3"/>
  <c r="V477" i="3"/>
  <c r="Q477" i="3"/>
  <c r="P477" i="3"/>
  <c r="O477" i="3"/>
  <c r="N477" i="3"/>
  <c r="S477" i="3" s="1"/>
  <c r="AB476" i="3"/>
  <c r="AA476" i="3"/>
  <c r="V476" i="3"/>
  <c r="N476" i="3"/>
  <c r="AB475" i="3"/>
  <c r="AA475" i="3"/>
  <c r="V475" i="3"/>
  <c r="N475" i="3"/>
  <c r="R475" i="3" s="1"/>
  <c r="AB474" i="3"/>
  <c r="AA474" i="3"/>
  <c r="V474" i="3"/>
  <c r="N474" i="3"/>
  <c r="AB473" i="3"/>
  <c r="AA473" i="3"/>
  <c r="V473" i="3"/>
  <c r="T473" i="3"/>
  <c r="R473" i="3"/>
  <c r="Q473" i="3"/>
  <c r="P473" i="3"/>
  <c r="U473" i="3" s="1"/>
  <c r="O473" i="3"/>
  <c r="N473" i="3"/>
  <c r="S473" i="3" s="1"/>
  <c r="AB472" i="3"/>
  <c r="AA472" i="3"/>
  <c r="V472" i="3"/>
  <c r="N472" i="3"/>
  <c r="S472" i="3" s="1"/>
  <c r="AB471" i="3"/>
  <c r="AA471" i="3"/>
  <c r="V471" i="3"/>
  <c r="N471" i="3"/>
  <c r="AB470" i="3"/>
  <c r="AA470" i="3"/>
  <c r="V470" i="3"/>
  <c r="Q470" i="3"/>
  <c r="N470" i="3"/>
  <c r="AB469" i="3"/>
  <c r="AA469" i="3"/>
  <c r="V469" i="3"/>
  <c r="N469" i="3"/>
  <c r="P469" i="3" s="1"/>
  <c r="T469" i="3" s="1"/>
  <c r="AB468" i="3"/>
  <c r="AA468" i="3"/>
  <c r="V468" i="3"/>
  <c r="T468" i="3"/>
  <c r="S468" i="3"/>
  <c r="R468" i="3"/>
  <c r="Q468" i="3"/>
  <c r="P468" i="3"/>
  <c r="U468" i="3" s="1"/>
  <c r="O468" i="3"/>
  <c r="N468" i="3"/>
  <c r="AB467" i="3"/>
  <c r="AA467" i="3"/>
  <c r="V467" i="3"/>
  <c r="S467" i="3"/>
  <c r="R467" i="3"/>
  <c r="P467" i="3"/>
  <c r="O467" i="3"/>
  <c r="N467" i="3"/>
  <c r="Q467" i="3" s="1"/>
  <c r="AB466" i="3"/>
  <c r="AA466" i="3"/>
  <c r="V466" i="3"/>
  <c r="S466" i="3"/>
  <c r="R466" i="3"/>
  <c r="P466" i="3"/>
  <c r="N466" i="3"/>
  <c r="Q466" i="3" s="1"/>
  <c r="AB465" i="3"/>
  <c r="AA465" i="3"/>
  <c r="V465" i="3"/>
  <c r="N465" i="3"/>
  <c r="AB464" i="3"/>
  <c r="AA464" i="3"/>
  <c r="V464" i="3"/>
  <c r="N464" i="3"/>
  <c r="AB463" i="3"/>
  <c r="AA463" i="3"/>
  <c r="V463" i="3"/>
  <c r="N463" i="3"/>
  <c r="AB462" i="3"/>
  <c r="AA462" i="3"/>
  <c r="V462" i="3"/>
  <c r="Q462" i="3"/>
  <c r="N462" i="3"/>
  <c r="AB461" i="3"/>
  <c r="AA461" i="3"/>
  <c r="V461" i="3"/>
  <c r="R461" i="3"/>
  <c r="Q461" i="3"/>
  <c r="N461" i="3"/>
  <c r="AB460" i="3"/>
  <c r="AA460" i="3"/>
  <c r="V460" i="3"/>
  <c r="S460" i="3"/>
  <c r="Q460" i="3"/>
  <c r="N460" i="3"/>
  <c r="AB459" i="3"/>
  <c r="AA459" i="3"/>
  <c r="V459" i="3"/>
  <c r="R459" i="3"/>
  <c r="P459" i="3"/>
  <c r="T459" i="3" s="1"/>
  <c r="O459" i="3"/>
  <c r="N459" i="3"/>
  <c r="AB458" i="3"/>
  <c r="AA458" i="3"/>
  <c r="V458" i="3"/>
  <c r="S458" i="3"/>
  <c r="R458" i="3"/>
  <c r="P458" i="3"/>
  <c r="N458" i="3"/>
  <c r="Q458" i="3" s="1"/>
  <c r="AB457" i="3"/>
  <c r="AA457" i="3"/>
  <c r="V457" i="3"/>
  <c r="N457" i="3"/>
  <c r="S457" i="3" s="1"/>
  <c r="AB456" i="3"/>
  <c r="AA456" i="3"/>
  <c r="V456" i="3"/>
  <c r="N456" i="3"/>
  <c r="S456" i="3" s="1"/>
  <c r="AB455" i="3"/>
  <c r="AA455" i="3"/>
  <c r="V455" i="3"/>
  <c r="N455" i="3"/>
  <c r="AB454" i="3"/>
  <c r="AA454" i="3"/>
  <c r="V454" i="3"/>
  <c r="N454" i="3"/>
  <c r="AB453" i="3"/>
  <c r="AA453" i="3"/>
  <c r="V453" i="3"/>
  <c r="R453" i="3"/>
  <c r="Q453" i="3"/>
  <c r="O453" i="3"/>
  <c r="N453" i="3"/>
  <c r="P453" i="3" s="1"/>
  <c r="AB452" i="3"/>
  <c r="AA452" i="3"/>
  <c r="V452" i="3"/>
  <c r="R452" i="3"/>
  <c r="O452" i="3"/>
  <c r="N452" i="3"/>
  <c r="AB451" i="3"/>
  <c r="AA451" i="3"/>
  <c r="V451" i="3"/>
  <c r="N451" i="3"/>
  <c r="AB450" i="3"/>
  <c r="AA450" i="3"/>
  <c r="V450" i="3"/>
  <c r="S450" i="3"/>
  <c r="P450" i="3"/>
  <c r="N450" i="3"/>
  <c r="AB449" i="3"/>
  <c r="AA449" i="3"/>
  <c r="V449" i="3"/>
  <c r="N449" i="3"/>
  <c r="AB448" i="3"/>
  <c r="AA448" i="3"/>
  <c r="V448" i="3"/>
  <c r="N448" i="3"/>
  <c r="AB447" i="3"/>
  <c r="AA447" i="3"/>
  <c r="V447" i="3"/>
  <c r="N447" i="3"/>
  <c r="Q447" i="3" s="1"/>
  <c r="AB446" i="3"/>
  <c r="AA446" i="3"/>
  <c r="V446" i="3"/>
  <c r="Q446" i="3"/>
  <c r="O446" i="3"/>
  <c r="N446" i="3"/>
  <c r="S446" i="3" s="1"/>
  <c r="AB445" i="3"/>
  <c r="AA445" i="3"/>
  <c r="V445" i="3"/>
  <c r="Q445" i="3"/>
  <c r="N445" i="3"/>
  <c r="O445" i="3" s="1"/>
  <c r="AB444" i="3"/>
  <c r="AA444" i="3"/>
  <c r="V444" i="3"/>
  <c r="U444" i="3"/>
  <c r="R444" i="3"/>
  <c r="Q444" i="3"/>
  <c r="P444" i="3"/>
  <c r="T444" i="3" s="1"/>
  <c r="O444" i="3"/>
  <c r="N444" i="3"/>
  <c r="S444" i="3" s="1"/>
  <c r="AB443" i="3"/>
  <c r="AA443" i="3"/>
  <c r="V443" i="3"/>
  <c r="S443" i="3"/>
  <c r="R443" i="3"/>
  <c r="P443" i="3"/>
  <c r="T443" i="3" s="1"/>
  <c r="O443" i="3"/>
  <c r="N443" i="3"/>
  <c r="Q443" i="3" s="1"/>
  <c r="AB442" i="3"/>
  <c r="AA442" i="3"/>
  <c r="V442" i="3"/>
  <c r="U442" i="3"/>
  <c r="S442" i="3"/>
  <c r="R442" i="3"/>
  <c r="P442" i="3"/>
  <c r="T442" i="3" s="1"/>
  <c r="N442" i="3"/>
  <c r="Q442" i="3" s="1"/>
  <c r="AB441" i="3"/>
  <c r="AA441" i="3"/>
  <c r="V441" i="3"/>
  <c r="S441" i="3"/>
  <c r="P441" i="3"/>
  <c r="N441" i="3"/>
  <c r="AB440" i="3"/>
  <c r="AA440" i="3"/>
  <c r="V440" i="3"/>
  <c r="S440" i="3"/>
  <c r="N440" i="3"/>
  <c r="AB439" i="3"/>
  <c r="AA439" i="3"/>
  <c r="V439" i="3"/>
  <c r="N439" i="3"/>
  <c r="AB438" i="3"/>
  <c r="AA438" i="3"/>
  <c r="V438" i="3"/>
  <c r="N438" i="3"/>
  <c r="AB437" i="3"/>
  <c r="AA437" i="3"/>
  <c r="V437" i="3"/>
  <c r="Q437" i="3"/>
  <c r="O437" i="3"/>
  <c r="N437" i="3"/>
  <c r="AB436" i="3"/>
  <c r="AA436" i="3"/>
  <c r="V436" i="3"/>
  <c r="R436" i="3"/>
  <c r="N436" i="3"/>
  <c r="AB435" i="3"/>
  <c r="AA435" i="3"/>
  <c r="V435" i="3"/>
  <c r="S435" i="3"/>
  <c r="R435" i="3"/>
  <c r="N435" i="3"/>
  <c r="AB434" i="3"/>
  <c r="AA434" i="3"/>
  <c r="V434" i="3"/>
  <c r="S434" i="3"/>
  <c r="R434" i="3"/>
  <c r="N434" i="3"/>
  <c r="AB433" i="3"/>
  <c r="AA433" i="3"/>
  <c r="V433" i="3"/>
  <c r="N433" i="3"/>
  <c r="AB432" i="3"/>
  <c r="AA432" i="3"/>
  <c r="V432" i="3"/>
  <c r="N432" i="3"/>
  <c r="AB431" i="3"/>
  <c r="AA431" i="3"/>
  <c r="V431" i="3"/>
  <c r="Q431" i="3"/>
  <c r="N431" i="3"/>
  <c r="AB430" i="3"/>
  <c r="AA430" i="3"/>
  <c r="V430" i="3"/>
  <c r="Q430" i="3"/>
  <c r="O430" i="3"/>
  <c r="N430" i="3"/>
  <c r="S430" i="3" s="1"/>
  <c r="AB429" i="3"/>
  <c r="AA429" i="3"/>
  <c r="V429" i="3"/>
  <c r="T429" i="3"/>
  <c r="R429" i="3"/>
  <c r="Q429" i="3"/>
  <c r="O429" i="3"/>
  <c r="N429" i="3"/>
  <c r="P429" i="3" s="1"/>
  <c r="U429" i="3" s="1"/>
  <c r="AB428" i="3"/>
  <c r="AA428" i="3"/>
  <c r="V428" i="3"/>
  <c r="N428" i="3"/>
  <c r="AB427" i="3"/>
  <c r="AA427" i="3"/>
  <c r="V427" i="3"/>
  <c r="S427" i="3"/>
  <c r="N427" i="3"/>
  <c r="AB426" i="3"/>
  <c r="AA426" i="3"/>
  <c r="V426" i="3"/>
  <c r="S426" i="3"/>
  <c r="P426" i="3"/>
  <c r="N426" i="3"/>
  <c r="AB425" i="3"/>
  <c r="AA425" i="3"/>
  <c r="V425" i="3"/>
  <c r="S425" i="3"/>
  <c r="P425" i="3"/>
  <c r="N425" i="3"/>
  <c r="AB424" i="3"/>
  <c r="AA424" i="3"/>
  <c r="V424" i="3"/>
  <c r="N424" i="3"/>
  <c r="S424" i="3" s="1"/>
  <c r="AB423" i="3"/>
  <c r="AA423" i="3"/>
  <c r="V423" i="3"/>
  <c r="N423" i="3"/>
  <c r="AB422" i="3"/>
  <c r="AA422" i="3"/>
  <c r="V422" i="3"/>
  <c r="Q422" i="3"/>
  <c r="O422" i="3"/>
  <c r="N422" i="3"/>
  <c r="S422" i="3" s="1"/>
  <c r="AB421" i="3"/>
  <c r="AA421" i="3"/>
  <c r="V421" i="3"/>
  <c r="O421" i="3"/>
  <c r="N421" i="3"/>
  <c r="AB420" i="3"/>
  <c r="AA420" i="3"/>
  <c r="V420" i="3"/>
  <c r="R420" i="3"/>
  <c r="Q420" i="3"/>
  <c r="P420" i="3"/>
  <c r="O420" i="3"/>
  <c r="N420" i="3"/>
  <c r="S420" i="3" s="1"/>
  <c r="AB419" i="3"/>
  <c r="AA419" i="3"/>
  <c r="V419" i="3"/>
  <c r="S419" i="3"/>
  <c r="R419" i="3"/>
  <c r="P419" i="3"/>
  <c r="O419" i="3"/>
  <c r="N419" i="3"/>
  <c r="Q419" i="3" s="1"/>
  <c r="AB418" i="3"/>
  <c r="AA418" i="3"/>
  <c r="V418" i="3"/>
  <c r="N418" i="3"/>
  <c r="S418" i="3" s="1"/>
  <c r="AB417" i="3"/>
  <c r="AA417" i="3"/>
  <c r="V417" i="3"/>
  <c r="N417" i="3"/>
  <c r="AB416" i="3"/>
  <c r="AA416" i="3"/>
  <c r="V416" i="3"/>
  <c r="N416" i="3"/>
  <c r="AB415" i="3"/>
  <c r="AA415" i="3"/>
  <c r="V415" i="3"/>
  <c r="N415" i="3"/>
  <c r="AB414" i="3"/>
  <c r="AA414" i="3"/>
  <c r="V414" i="3"/>
  <c r="Q414" i="3"/>
  <c r="N414" i="3"/>
  <c r="S414" i="3" s="1"/>
  <c r="AB413" i="3"/>
  <c r="AA413" i="3"/>
  <c r="V413" i="3"/>
  <c r="T413" i="3"/>
  <c r="R413" i="3"/>
  <c r="Q413" i="3"/>
  <c r="N413" i="3"/>
  <c r="P413" i="3" s="1"/>
  <c r="U413" i="3" s="1"/>
  <c r="AB412" i="3"/>
  <c r="AA412" i="3"/>
  <c r="V412" i="3"/>
  <c r="R412" i="3"/>
  <c r="N412" i="3"/>
  <c r="AB411" i="3"/>
  <c r="AA411" i="3"/>
  <c r="V411" i="3"/>
  <c r="U411" i="3"/>
  <c r="S411" i="3"/>
  <c r="R411" i="3"/>
  <c r="P411" i="3"/>
  <c r="T411" i="3" s="1"/>
  <c r="O411" i="3"/>
  <c r="N411" i="3"/>
  <c r="Q411" i="3" s="1"/>
  <c r="AB410" i="3"/>
  <c r="AA410" i="3"/>
  <c r="V410" i="3"/>
  <c r="S410" i="3"/>
  <c r="R410" i="3"/>
  <c r="P410" i="3"/>
  <c r="T410" i="3" s="1"/>
  <c r="O410" i="3"/>
  <c r="N410" i="3"/>
  <c r="Q410" i="3" s="1"/>
  <c r="AB409" i="3"/>
  <c r="AA409" i="3"/>
  <c r="V409" i="3"/>
  <c r="N409" i="3"/>
  <c r="AB408" i="3"/>
  <c r="AA408" i="3"/>
  <c r="V408" i="3"/>
  <c r="N408" i="3"/>
  <c r="AB407" i="3"/>
  <c r="AA407" i="3"/>
  <c r="V407" i="3"/>
  <c r="N407" i="3"/>
  <c r="AB406" i="3"/>
  <c r="AA406" i="3"/>
  <c r="V406" i="3"/>
  <c r="Q406" i="3"/>
  <c r="O406" i="3"/>
  <c r="N406" i="3"/>
  <c r="S406" i="3" s="1"/>
  <c r="AB405" i="3"/>
  <c r="AA405" i="3"/>
  <c r="V405" i="3"/>
  <c r="O405" i="3"/>
  <c r="N405" i="3"/>
  <c r="AB404" i="3"/>
  <c r="AA404" i="3"/>
  <c r="V404" i="3"/>
  <c r="N404" i="3"/>
  <c r="AB403" i="3"/>
  <c r="AA403" i="3"/>
  <c r="V403" i="3"/>
  <c r="N403" i="3"/>
  <c r="AB402" i="3"/>
  <c r="AA402" i="3"/>
  <c r="V402" i="3"/>
  <c r="S402" i="3"/>
  <c r="R402" i="3"/>
  <c r="P402" i="3"/>
  <c r="O402" i="3"/>
  <c r="N402" i="3"/>
  <c r="Q402" i="3" s="1"/>
  <c r="AB401" i="3"/>
  <c r="AA401" i="3"/>
  <c r="V401" i="3"/>
  <c r="N401" i="3"/>
  <c r="P401" i="3" s="1"/>
  <c r="AB400" i="3"/>
  <c r="AA400" i="3"/>
  <c r="V400" i="3"/>
  <c r="S400" i="3"/>
  <c r="Q400" i="3"/>
  <c r="N400" i="3"/>
  <c r="AB399" i="3"/>
  <c r="AA399" i="3"/>
  <c r="V399" i="3"/>
  <c r="N399" i="3"/>
  <c r="AB398" i="3"/>
  <c r="AA398" i="3"/>
  <c r="V398" i="3"/>
  <c r="O398" i="3"/>
  <c r="N398" i="3"/>
  <c r="AB397" i="3"/>
  <c r="AA397" i="3"/>
  <c r="V397" i="3"/>
  <c r="R397" i="3"/>
  <c r="Q397" i="3"/>
  <c r="N397" i="3"/>
  <c r="AB396" i="3"/>
  <c r="AA396" i="3"/>
  <c r="V396" i="3"/>
  <c r="N396" i="3"/>
  <c r="AB395" i="3"/>
  <c r="AA395" i="3"/>
  <c r="V395" i="3"/>
  <c r="R395" i="3"/>
  <c r="O395" i="3"/>
  <c r="N395" i="3"/>
  <c r="AB394" i="3"/>
  <c r="AA394" i="3"/>
  <c r="V394" i="3"/>
  <c r="N394" i="3"/>
  <c r="AB393" i="3"/>
  <c r="AA393" i="3"/>
  <c r="V393" i="3"/>
  <c r="N393" i="3"/>
  <c r="AB392" i="3"/>
  <c r="AA392" i="3"/>
  <c r="V392" i="3"/>
  <c r="N392" i="3"/>
  <c r="AB391" i="3"/>
  <c r="AA391" i="3"/>
  <c r="V391" i="3"/>
  <c r="N391" i="3"/>
  <c r="Q391" i="3" s="1"/>
  <c r="AB390" i="3"/>
  <c r="AA390" i="3"/>
  <c r="V390" i="3"/>
  <c r="N390" i="3"/>
  <c r="AB389" i="3"/>
  <c r="AA389" i="3"/>
  <c r="V389" i="3"/>
  <c r="Q389" i="3"/>
  <c r="N389" i="3"/>
  <c r="AB388" i="3"/>
  <c r="AA388" i="3"/>
  <c r="V388" i="3"/>
  <c r="O388" i="3"/>
  <c r="N388" i="3"/>
  <c r="AB387" i="3"/>
  <c r="AA387" i="3"/>
  <c r="V387" i="3"/>
  <c r="N387" i="3"/>
  <c r="AB386" i="3"/>
  <c r="AA386" i="3"/>
  <c r="V386" i="3"/>
  <c r="P386" i="3"/>
  <c r="T386" i="3" s="1"/>
  <c r="N386" i="3"/>
  <c r="AB385" i="3"/>
  <c r="AA385" i="3"/>
  <c r="V385" i="3"/>
  <c r="N385" i="3"/>
  <c r="S385" i="3" s="1"/>
  <c r="AB384" i="3"/>
  <c r="AA384" i="3"/>
  <c r="V384" i="3"/>
  <c r="N384" i="3"/>
  <c r="Q384" i="3" s="1"/>
  <c r="AB383" i="3"/>
  <c r="AA383" i="3"/>
  <c r="V383" i="3"/>
  <c r="N383" i="3"/>
  <c r="Q383" i="3" s="1"/>
  <c r="AB382" i="3"/>
  <c r="AA382" i="3"/>
  <c r="V382" i="3"/>
  <c r="N382" i="3"/>
  <c r="AB381" i="3"/>
  <c r="AA381" i="3"/>
  <c r="V381" i="3"/>
  <c r="R381" i="3"/>
  <c r="Q381" i="3"/>
  <c r="O381" i="3"/>
  <c r="N381" i="3"/>
  <c r="P381" i="3" s="1"/>
  <c r="AB380" i="3"/>
  <c r="AA380" i="3"/>
  <c r="V380" i="3"/>
  <c r="N380" i="3"/>
  <c r="AB379" i="3"/>
  <c r="AA379" i="3"/>
  <c r="V379" i="3"/>
  <c r="N379" i="3"/>
  <c r="AB378" i="3"/>
  <c r="AA378" i="3"/>
  <c r="V378" i="3"/>
  <c r="N378" i="3"/>
  <c r="AB377" i="3"/>
  <c r="AA377" i="3"/>
  <c r="V377" i="3"/>
  <c r="N377" i="3"/>
  <c r="P377" i="3" s="1"/>
  <c r="AB376" i="3"/>
  <c r="AA376" i="3"/>
  <c r="V376" i="3"/>
  <c r="S376" i="3"/>
  <c r="Q376" i="3"/>
  <c r="N376" i="3"/>
  <c r="AB375" i="3"/>
  <c r="AA375" i="3"/>
  <c r="V375" i="3"/>
  <c r="N375" i="3"/>
  <c r="AB374" i="3"/>
  <c r="AA374" i="3"/>
  <c r="V374" i="3"/>
  <c r="O374" i="3"/>
  <c r="N374" i="3"/>
  <c r="AB373" i="3"/>
  <c r="AA373" i="3"/>
  <c r="V373" i="3"/>
  <c r="N373" i="3"/>
  <c r="AB372" i="3"/>
  <c r="AA372" i="3"/>
  <c r="V372" i="3"/>
  <c r="R372" i="3"/>
  <c r="O372" i="3"/>
  <c r="N372" i="3"/>
  <c r="AB371" i="3"/>
  <c r="AA371" i="3"/>
  <c r="V371" i="3"/>
  <c r="N371" i="3"/>
  <c r="AB370" i="3"/>
  <c r="AA370" i="3"/>
  <c r="V370" i="3"/>
  <c r="N370" i="3"/>
  <c r="AB369" i="3"/>
  <c r="AA369" i="3"/>
  <c r="V369" i="3"/>
  <c r="S369" i="3"/>
  <c r="P369" i="3"/>
  <c r="N369" i="3"/>
  <c r="AB368" i="3"/>
  <c r="AA368" i="3"/>
  <c r="V368" i="3"/>
  <c r="N368" i="3"/>
  <c r="AB367" i="3"/>
  <c r="AA367" i="3"/>
  <c r="V367" i="3"/>
  <c r="N367" i="3"/>
  <c r="AB366" i="3"/>
  <c r="AA366" i="3"/>
  <c r="V366" i="3"/>
  <c r="Q366" i="3"/>
  <c r="N366" i="3"/>
  <c r="AB365" i="3"/>
  <c r="AA365" i="3"/>
  <c r="V365" i="3"/>
  <c r="N365" i="3"/>
  <c r="AB364" i="3"/>
  <c r="AA364" i="3"/>
  <c r="V364" i="3"/>
  <c r="P364" i="3"/>
  <c r="O364" i="3"/>
  <c r="N364" i="3"/>
  <c r="AB363" i="3"/>
  <c r="AA363" i="3"/>
  <c r="V363" i="3"/>
  <c r="N363" i="3"/>
  <c r="AB362" i="3"/>
  <c r="AA362" i="3"/>
  <c r="V362" i="3"/>
  <c r="O362" i="3"/>
  <c r="N362" i="3"/>
  <c r="AB361" i="3"/>
  <c r="AA361" i="3"/>
  <c r="V361" i="3"/>
  <c r="N361" i="3"/>
  <c r="AB360" i="3"/>
  <c r="AA360" i="3"/>
  <c r="V360" i="3"/>
  <c r="N360" i="3"/>
  <c r="S360" i="3" s="1"/>
  <c r="AB359" i="3"/>
  <c r="AA359" i="3"/>
  <c r="V359" i="3"/>
  <c r="N359" i="3"/>
  <c r="AB358" i="3"/>
  <c r="AA358" i="3"/>
  <c r="V358" i="3"/>
  <c r="Q358" i="3"/>
  <c r="O358" i="3"/>
  <c r="N358" i="3"/>
  <c r="S358" i="3" s="1"/>
  <c r="AB357" i="3"/>
  <c r="AA357" i="3"/>
  <c r="V357" i="3"/>
  <c r="T357" i="3"/>
  <c r="R357" i="3"/>
  <c r="Q357" i="3"/>
  <c r="O357" i="3"/>
  <c r="N357" i="3"/>
  <c r="P357" i="3" s="1"/>
  <c r="U357" i="3" s="1"/>
  <c r="AB356" i="3"/>
  <c r="AA356" i="3"/>
  <c r="V356" i="3"/>
  <c r="R356" i="3"/>
  <c r="Q356" i="3"/>
  <c r="N356" i="3"/>
  <c r="AB355" i="3"/>
  <c r="AA355" i="3"/>
  <c r="V355" i="3"/>
  <c r="N355" i="3"/>
  <c r="AB354" i="3"/>
  <c r="AA354" i="3"/>
  <c r="V354" i="3"/>
  <c r="R354" i="3"/>
  <c r="N354" i="3"/>
  <c r="AB353" i="3"/>
  <c r="AA353" i="3"/>
  <c r="V353" i="3"/>
  <c r="N353" i="3"/>
  <c r="P353" i="3" s="1"/>
  <c r="AB352" i="3"/>
  <c r="AA352" i="3"/>
  <c r="V352" i="3"/>
  <c r="S352" i="3"/>
  <c r="Q352" i="3"/>
  <c r="N352" i="3"/>
  <c r="AB351" i="3"/>
  <c r="AA351" i="3"/>
  <c r="V351" i="3"/>
  <c r="N351" i="3"/>
  <c r="AB350" i="3"/>
  <c r="AA350" i="3"/>
  <c r="V350" i="3"/>
  <c r="N350" i="3"/>
  <c r="AB349" i="3"/>
  <c r="AA349" i="3"/>
  <c r="V349" i="3"/>
  <c r="R349" i="3"/>
  <c r="Q349" i="3"/>
  <c r="O349" i="3"/>
  <c r="N349" i="3"/>
  <c r="P349" i="3" s="1"/>
  <c r="U349" i="3" s="1"/>
  <c r="AB348" i="3"/>
  <c r="AA348" i="3"/>
  <c r="V348" i="3"/>
  <c r="R348" i="3"/>
  <c r="Q348" i="3"/>
  <c r="O348" i="3"/>
  <c r="N348" i="3"/>
  <c r="AB347" i="3"/>
  <c r="AA347" i="3"/>
  <c r="V347" i="3"/>
  <c r="R347" i="3"/>
  <c r="N347" i="3"/>
  <c r="AB346" i="3"/>
  <c r="AA346" i="3"/>
  <c r="V346" i="3"/>
  <c r="R346" i="3"/>
  <c r="P346" i="3"/>
  <c r="N346" i="3"/>
  <c r="AB345" i="3"/>
  <c r="AA345" i="3"/>
  <c r="V345" i="3"/>
  <c r="N345" i="3"/>
  <c r="AB344" i="3"/>
  <c r="AA344" i="3"/>
  <c r="V344" i="3"/>
  <c r="N344" i="3"/>
  <c r="AB343" i="3"/>
  <c r="AA343" i="3"/>
  <c r="V343" i="3"/>
  <c r="N343" i="3"/>
  <c r="AB342" i="3"/>
  <c r="AA342" i="3"/>
  <c r="V342" i="3"/>
  <c r="Q342" i="3"/>
  <c r="O342" i="3"/>
  <c r="N342" i="3"/>
  <c r="S342" i="3" s="1"/>
  <c r="AB341" i="3"/>
  <c r="AA341" i="3"/>
  <c r="V341" i="3"/>
  <c r="T341" i="3"/>
  <c r="R341" i="3"/>
  <c r="Q341" i="3"/>
  <c r="O341" i="3"/>
  <c r="N341" i="3"/>
  <c r="P341" i="3" s="1"/>
  <c r="U341" i="3" s="1"/>
  <c r="AB340" i="3"/>
  <c r="AA340" i="3"/>
  <c r="V340" i="3"/>
  <c r="R340" i="3"/>
  <c r="Q340" i="3"/>
  <c r="O340" i="3"/>
  <c r="N340" i="3"/>
  <c r="AB339" i="3"/>
  <c r="AA339" i="3"/>
  <c r="V339" i="3"/>
  <c r="U339" i="3"/>
  <c r="S339" i="3"/>
  <c r="P339" i="3"/>
  <c r="T339" i="3" s="1"/>
  <c r="O339" i="3"/>
  <c r="N339" i="3"/>
  <c r="AB338" i="3"/>
  <c r="AA338" i="3"/>
  <c r="V338" i="3"/>
  <c r="U338" i="3"/>
  <c r="R338" i="3"/>
  <c r="P338" i="3"/>
  <c r="T338" i="3" s="1"/>
  <c r="O338" i="3"/>
  <c r="N338" i="3"/>
  <c r="AB337" i="3"/>
  <c r="AA337" i="3"/>
  <c r="V337" i="3"/>
  <c r="N337" i="3"/>
  <c r="AB336" i="3"/>
  <c r="AA336" i="3"/>
  <c r="V336" i="3"/>
  <c r="N336" i="3"/>
  <c r="S336" i="3" s="1"/>
  <c r="AB335" i="3"/>
  <c r="AA335" i="3"/>
  <c r="V335" i="3"/>
  <c r="N335" i="3"/>
  <c r="AB334" i="3"/>
  <c r="AA334" i="3"/>
  <c r="V334" i="3"/>
  <c r="Q334" i="3"/>
  <c r="O334" i="3"/>
  <c r="N334" i="3"/>
  <c r="S334" i="3" s="1"/>
  <c r="AB333" i="3"/>
  <c r="AA333" i="3"/>
  <c r="V333" i="3"/>
  <c r="T333" i="3"/>
  <c r="R333" i="3"/>
  <c r="Q333" i="3"/>
  <c r="O333" i="3"/>
  <c r="N333" i="3"/>
  <c r="P333" i="3" s="1"/>
  <c r="U333" i="3" s="1"/>
  <c r="AB332" i="3"/>
  <c r="AA332" i="3"/>
  <c r="V332" i="3"/>
  <c r="N332" i="3"/>
  <c r="AB331" i="3"/>
  <c r="AA331" i="3"/>
  <c r="V331" i="3"/>
  <c r="O331" i="3"/>
  <c r="N331" i="3"/>
  <c r="AB330" i="3"/>
  <c r="AA330" i="3"/>
  <c r="V330" i="3"/>
  <c r="O330" i="3"/>
  <c r="N330" i="3"/>
  <c r="AB329" i="3"/>
  <c r="AA329" i="3"/>
  <c r="V329" i="3"/>
  <c r="N329" i="3"/>
  <c r="S329" i="3" s="1"/>
  <c r="AB328" i="3"/>
  <c r="AA328" i="3"/>
  <c r="V328" i="3"/>
  <c r="N328" i="3"/>
  <c r="S328" i="3" s="1"/>
  <c r="AB327" i="3"/>
  <c r="AA327" i="3"/>
  <c r="V327" i="3"/>
  <c r="N327" i="3"/>
  <c r="S327" i="3" s="1"/>
  <c r="AB326" i="3"/>
  <c r="AA326" i="3"/>
  <c r="V326" i="3"/>
  <c r="N326" i="3"/>
  <c r="AB325" i="3"/>
  <c r="AA325" i="3"/>
  <c r="V325" i="3"/>
  <c r="R325" i="3"/>
  <c r="O325" i="3"/>
  <c r="N325" i="3"/>
  <c r="AB324" i="3"/>
  <c r="AA324" i="3"/>
  <c r="V324" i="3"/>
  <c r="P324" i="3"/>
  <c r="N324" i="3"/>
  <c r="AB323" i="3"/>
  <c r="AA323" i="3"/>
  <c r="V323" i="3"/>
  <c r="N323" i="3"/>
  <c r="AB322" i="3"/>
  <c r="AA322" i="3"/>
  <c r="V322" i="3"/>
  <c r="N322" i="3"/>
  <c r="AB321" i="3"/>
  <c r="AA321" i="3"/>
  <c r="V321" i="3"/>
  <c r="N321" i="3"/>
  <c r="S321" i="3" s="1"/>
  <c r="AB320" i="3"/>
  <c r="AA320" i="3"/>
  <c r="V320" i="3"/>
  <c r="N320" i="3"/>
  <c r="AB319" i="3"/>
  <c r="AA319" i="3"/>
  <c r="V319" i="3"/>
  <c r="S319" i="3"/>
  <c r="N319" i="3"/>
  <c r="AB318" i="3"/>
  <c r="AA318" i="3"/>
  <c r="V318" i="3"/>
  <c r="O318" i="3"/>
  <c r="N318" i="3"/>
  <c r="Q318" i="3" s="1"/>
  <c r="AB317" i="3"/>
  <c r="AA317" i="3"/>
  <c r="V317" i="3"/>
  <c r="R317" i="3"/>
  <c r="O317" i="3"/>
  <c r="N317" i="3"/>
  <c r="AB316" i="3"/>
  <c r="AA316" i="3"/>
  <c r="V316" i="3"/>
  <c r="P316" i="3"/>
  <c r="U316" i="3" s="1"/>
  <c r="O316" i="3"/>
  <c r="N316" i="3"/>
  <c r="Q316" i="3" s="1"/>
  <c r="AB315" i="3"/>
  <c r="AA315" i="3"/>
  <c r="V315" i="3"/>
  <c r="S315" i="3"/>
  <c r="P315" i="3"/>
  <c r="O315" i="3"/>
  <c r="N315" i="3"/>
  <c r="Q315" i="3" s="1"/>
  <c r="AB314" i="3"/>
  <c r="AA314" i="3"/>
  <c r="V314" i="3"/>
  <c r="S314" i="3"/>
  <c r="R314" i="3"/>
  <c r="P314" i="3"/>
  <c r="O314" i="3"/>
  <c r="N314" i="3"/>
  <c r="Q314" i="3" s="1"/>
  <c r="AB313" i="3"/>
  <c r="AA313" i="3"/>
  <c r="V313" i="3"/>
  <c r="N313" i="3"/>
  <c r="AB312" i="3"/>
  <c r="AA312" i="3"/>
  <c r="V312" i="3"/>
  <c r="N312" i="3"/>
  <c r="AB311" i="3"/>
  <c r="AA311" i="3"/>
  <c r="V311" i="3"/>
  <c r="S311" i="3"/>
  <c r="Q311" i="3"/>
  <c r="N311" i="3"/>
  <c r="AB310" i="3"/>
  <c r="AA310" i="3"/>
  <c r="V310" i="3"/>
  <c r="N310" i="3"/>
  <c r="AB309" i="3"/>
  <c r="AA309" i="3"/>
  <c r="V309" i="3"/>
  <c r="R309" i="3"/>
  <c r="Q309" i="3"/>
  <c r="N309" i="3"/>
  <c r="AB308" i="3"/>
  <c r="AA308" i="3"/>
  <c r="V308" i="3"/>
  <c r="O308" i="3"/>
  <c r="N308" i="3"/>
  <c r="AB307" i="3"/>
  <c r="AA307" i="3"/>
  <c r="V307" i="3"/>
  <c r="O307" i="3"/>
  <c r="N307" i="3"/>
  <c r="Q307" i="3" s="1"/>
  <c r="AB306" i="3"/>
  <c r="AA306" i="3"/>
  <c r="V306" i="3"/>
  <c r="N306" i="3"/>
  <c r="AB305" i="3"/>
  <c r="AA305" i="3"/>
  <c r="V305" i="3"/>
  <c r="N305" i="3"/>
  <c r="S305" i="3" s="1"/>
  <c r="AB304" i="3"/>
  <c r="AA304" i="3"/>
  <c r="V304" i="3"/>
  <c r="N304" i="3"/>
  <c r="S304" i="3" s="1"/>
  <c r="AB303" i="3"/>
  <c r="AA303" i="3"/>
  <c r="V303" i="3"/>
  <c r="P303" i="3"/>
  <c r="U303" i="3" s="1"/>
  <c r="N303" i="3"/>
  <c r="AB302" i="3"/>
  <c r="AA302" i="3"/>
  <c r="V302" i="3"/>
  <c r="N302" i="3"/>
  <c r="AB301" i="3"/>
  <c r="AA301" i="3"/>
  <c r="V301" i="3"/>
  <c r="N301" i="3"/>
  <c r="AB300" i="3"/>
  <c r="AA300" i="3"/>
  <c r="V300" i="3"/>
  <c r="U300" i="3"/>
  <c r="Q300" i="3"/>
  <c r="P300" i="3"/>
  <c r="T300" i="3" s="1"/>
  <c r="N300" i="3"/>
  <c r="AB299" i="3"/>
  <c r="AA299" i="3"/>
  <c r="V299" i="3"/>
  <c r="S299" i="3"/>
  <c r="R299" i="3"/>
  <c r="N299" i="3"/>
  <c r="Q299" i="3" s="1"/>
  <c r="AB298" i="3"/>
  <c r="AA298" i="3"/>
  <c r="V298" i="3"/>
  <c r="N298" i="3"/>
  <c r="AB297" i="3"/>
  <c r="AA297" i="3"/>
  <c r="V297" i="3"/>
  <c r="R297" i="3"/>
  <c r="N297" i="3"/>
  <c r="O297" i="3" s="1"/>
  <c r="AB296" i="3"/>
  <c r="AA296" i="3"/>
  <c r="V296" i="3"/>
  <c r="N296" i="3"/>
  <c r="S296" i="3" s="1"/>
  <c r="AB295" i="3"/>
  <c r="AA295" i="3"/>
  <c r="V295" i="3"/>
  <c r="N295" i="3"/>
  <c r="S295" i="3" s="1"/>
  <c r="AB294" i="3"/>
  <c r="AA294" i="3"/>
  <c r="V294" i="3"/>
  <c r="N294" i="3"/>
  <c r="AB293" i="3"/>
  <c r="AA293" i="3"/>
  <c r="V293" i="3"/>
  <c r="N293" i="3"/>
  <c r="AB292" i="3"/>
  <c r="AA292" i="3"/>
  <c r="V292" i="3"/>
  <c r="Q292" i="3"/>
  <c r="N292" i="3"/>
  <c r="P292" i="3" s="1"/>
  <c r="AB291" i="3"/>
  <c r="AA291" i="3"/>
  <c r="V291" i="3"/>
  <c r="O291" i="3"/>
  <c r="N291" i="3"/>
  <c r="AB290" i="3"/>
  <c r="AA290" i="3"/>
  <c r="V290" i="3"/>
  <c r="N290" i="3"/>
  <c r="AB289" i="3"/>
  <c r="AA289" i="3"/>
  <c r="V289" i="3"/>
  <c r="N289" i="3"/>
  <c r="AB288" i="3"/>
  <c r="AA288" i="3"/>
  <c r="V288" i="3"/>
  <c r="N288" i="3"/>
  <c r="AB287" i="3"/>
  <c r="AA287" i="3"/>
  <c r="V287" i="3"/>
  <c r="R287" i="3"/>
  <c r="Q287" i="3"/>
  <c r="P287" i="3"/>
  <c r="N287" i="3"/>
  <c r="O287" i="3" s="1"/>
  <c r="AB286" i="3"/>
  <c r="AA286" i="3"/>
  <c r="V286" i="3"/>
  <c r="S286" i="3"/>
  <c r="N286" i="3"/>
  <c r="R286" i="3" s="1"/>
  <c r="AB285" i="3"/>
  <c r="AA285" i="3"/>
  <c r="V285" i="3"/>
  <c r="N285" i="3"/>
  <c r="AB284" i="3"/>
  <c r="AA284" i="3"/>
  <c r="V284" i="3"/>
  <c r="R284" i="3"/>
  <c r="N284" i="3"/>
  <c r="Q284" i="3" s="1"/>
  <c r="AB283" i="3"/>
  <c r="AA283" i="3"/>
  <c r="V283" i="3"/>
  <c r="Q283" i="3"/>
  <c r="N283" i="3"/>
  <c r="S283" i="3" s="1"/>
  <c r="AB282" i="3"/>
  <c r="AA282" i="3"/>
  <c r="V282" i="3"/>
  <c r="N282" i="3"/>
  <c r="AB281" i="3"/>
  <c r="AA281" i="3"/>
  <c r="V281" i="3"/>
  <c r="N281" i="3"/>
  <c r="AB280" i="3"/>
  <c r="AA280" i="3"/>
  <c r="V280" i="3"/>
  <c r="R280" i="3"/>
  <c r="N280" i="3"/>
  <c r="AB279" i="3"/>
  <c r="AA279" i="3"/>
  <c r="V279" i="3"/>
  <c r="N279" i="3"/>
  <c r="AB278" i="3"/>
  <c r="AA278" i="3"/>
  <c r="V278" i="3"/>
  <c r="S278" i="3"/>
  <c r="P278" i="3"/>
  <c r="U278" i="3" s="1"/>
  <c r="N278" i="3"/>
  <c r="R278" i="3" s="1"/>
  <c r="AB277" i="3"/>
  <c r="AA277" i="3"/>
  <c r="V277" i="3"/>
  <c r="N277" i="3"/>
  <c r="AB276" i="3"/>
  <c r="AA276" i="3"/>
  <c r="V276" i="3"/>
  <c r="R276" i="3"/>
  <c r="Q276" i="3"/>
  <c r="N276" i="3"/>
  <c r="AB275" i="3"/>
  <c r="AA275" i="3"/>
  <c r="V275" i="3"/>
  <c r="Q275" i="3"/>
  <c r="N275" i="3"/>
  <c r="S275" i="3" s="1"/>
  <c r="AB274" i="3"/>
  <c r="AA274" i="3"/>
  <c r="V274" i="3"/>
  <c r="R274" i="3"/>
  <c r="Q274" i="3"/>
  <c r="O274" i="3"/>
  <c r="N274" i="3"/>
  <c r="S274" i="3" s="1"/>
  <c r="AB273" i="3"/>
  <c r="AA273" i="3"/>
  <c r="V273" i="3"/>
  <c r="S273" i="3"/>
  <c r="O273" i="3"/>
  <c r="N273" i="3"/>
  <c r="AB272" i="3"/>
  <c r="AA272" i="3"/>
  <c r="V272" i="3"/>
  <c r="N272" i="3"/>
  <c r="R272" i="3" s="1"/>
  <c r="AB271" i="3"/>
  <c r="AA271" i="3"/>
  <c r="V271" i="3"/>
  <c r="N271" i="3"/>
  <c r="AB270" i="3"/>
  <c r="AA270" i="3"/>
  <c r="V270" i="3"/>
  <c r="S270" i="3"/>
  <c r="P270" i="3"/>
  <c r="U270" i="3" s="1"/>
  <c r="N270" i="3"/>
  <c r="AB269" i="3"/>
  <c r="AA269" i="3"/>
  <c r="V269" i="3"/>
  <c r="P269" i="3"/>
  <c r="O269" i="3"/>
  <c r="N269" i="3"/>
  <c r="AB268" i="3"/>
  <c r="AA268" i="3"/>
  <c r="V268" i="3"/>
  <c r="Q268" i="3"/>
  <c r="N268" i="3"/>
  <c r="AB267" i="3"/>
  <c r="AA267" i="3"/>
  <c r="V267" i="3"/>
  <c r="N267" i="3"/>
  <c r="AB266" i="3"/>
  <c r="AA266" i="3"/>
  <c r="V266" i="3"/>
  <c r="N266" i="3"/>
  <c r="AB265" i="3"/>
  <c r="AA265" i="3"/>
  <c r="V265" i="3"/>
  <c r="N265" i="3"/>
  <c r="AB264" i="3"/>
  <c r="AA264" i="3"/>
  <c r="V264" i="3"/>
  <c r="N264" i="3"/>
  <c r="O264" i="3" s="1"/>
  <c r="AB263" i="3"/>
  <c r="AA263" i="3"/>
  <c r="V263" i="3"/>
  <c r="R263" i="3"/>
  <c r="Q263" i="3"/>
  <c r="P263" i="3"/>
  <c r="N263" i="3"/>
  <c r="O263" i="3" s="1"/>
  <c r="AB262" i="3"/>
  <c r="AA262" i="3"/>
  <c r="V262" i="3"/>
  <c r="N262" i="3"/>
  <c r="AB261" i="3"/>
  <c r="AA261" i="3"/>
  <c r="V261" i="3"/>
  <c r="S261" i="3"/>
  <c r="N261" i="3"/>
  <c r="P261" i="3" s="1"/>
  <c r="AB260" i="3"/>
  <c r="AA260" i="3"/>
  <c r="V260" i="3"/>
  <c r="N260" i="3"/>
  <c r="R260" i="3" s="1"/>
  <c r="AB259" i="3"/>
  <c r="AA259" i="3"/>
  <c r="V259" i="3"/>
  <c r="R259" i="3"/>
  <c r="N259" i="3"/>
  <c r="AB258" i="3"/>
  <c r="AA258" i="3"/>
  <c r="V258" i="3"/>
  <c r="T258" i="3"/>
  <c r="R258" i="3"/>
  <c r="Q258" i="3"/>
  <c r="P258" i="3"/>
  <c r="U258" i="3" s="1"/>
  <c r="N258" i="3"/>
  <c r="AB257" i="3"/>
  <c r="AA257" i="3"/>
  <c r="V257" i="3"/>
  <c r="S257" i="3"/>
  <c r="R257" i="3"/>
  <c r="O257" i="3"/>
  <c r="N257" i="3"/>
  <c r="AB256" i="3"/>
  <c r="AA256" i="3"/>
  <c r="V256" i="3"/>
  <c r="N256" i="3"/>
  <c r="AB255" i="3"/>
  <c r="AA255" i="3"/>
  <c r="V255" i="3"/>
  <c r="N255" i="3"/>
  <c r="P255" i="3" s="1"/>
  <c r="AB254" i="3"/>
  <c r="AA254" i="3"/>
  <c r="V254" i="3"/>
  <c r="Q254" i="3"/>
  <c r="P254" i="3"/>
  <c r="N254" i="3"/>
  <c r="AB253" i="3"/>
  <c r="AA253" i="3"/>
  <c r="V253" i="3"/>
  <c r="N253" i="3"/>
  <c r="P253" i="3" s="1"/>
  <c r="AB252" i="3"/>
  <c r="AA252" i="3"/>
  <c r="V252" i="3"/>
  <c r="Q252" i="3"/>
  <c r="O252" i="3"/>
  <c r="N252" i="3"/>
  <c r="AB251" i="3"/>
  <c r="AA251" i="3"/>
  <c r="V251" i="3"/>
  <c r="Q251" i="3"/>
  <c r="N251" i="3"/>
  <c r="R251" i="3" s="1"/>
  <c r="AB250" i="3"/>
  <c r="AA250" i="3"/>
  <c r="V250" i="3"/>
  <c r="R250" i="3"/>
  <c r="Q250" i="3"/>
  <c r="O250" i="3"/>
  <c r="N250" i="3"/>
  <c r="S250" i="3" s="1"/>
  <c r="AB249" i="3"/>
  <c r="AA249" i="3"/>
  <c r="V249" i="3"/>
  <c r="R249" i="3"/>
  <c r="P249" i="3"/>
  <c r="N249" i="3"/>
  <c r="S249" i="3" s="1"/>
  <c r="AB248" i="3"/>
  <c r="AA248" i="3"/>
  <c r="V248" i="3"/>
  <c r="R248" i="3"/>
  <c r="N248" i="3"/>
  <c r="AB247" i="3"/>
  <c r="AA247" i="3"/>
  <c r="V247" i="3"/>
  <c r="R247" i="3"/>
  <c r="Q247" i="3"/>
  <c r="P247" i="3"/>
  <c r="T247" i="3" s="1"/>
  <c r="N247" i="3"/>
  <c r="AB246" i="3"/>
  <c r="AA246" i="3"/>
  <c r="V246" i="3"/>
  <c r="N246" i="3"/>
  <c r="AB245" i="3"/>
  <c r="AA245" i="3"/>
  <c r="V245" i="3"/>
  <c r="N245" i="3"/>
  <c r="S245" i="3" s="1"/>
  <c r="AB244" i="3"/>
  <c r="AA244" i="3"/>
  <c r="V244" i="3"/>
  <c r="N244" i="3"/>
  <c r="AB243" i="3"/>
  <c r="AA243" i="3"/>
  <c r="V243" i="3"/>
  <c r="N243" i="3"/>
  <c r="AB242" i="3"/>
  <c r="AA242" i="3"/>
  <c r="V242" i="3"/>
  <c r="R242" i="3"/>
  <c r="N242" i="3"/>
  <c r="AB241" i="3"/>
  <c r="AA241" i="3"/>
  <c r="V241" i="3"/>
  <c r="N241" i="3"/>
  <c r="AB240" i="3"/>
  <c r="AA240" i="3"/>
  <c r="V240" i="3"/>
  <c r="N240" i="3"/>
  <c r="Q240" i="3" s="1"/>
  <c r="AB239" i="3"/>
  <c r="AA239" i="3"/>
  <c r="V239" i="3"/>
  <c r="R239" i="3"/>
  <c r="N239" i="3"/>
  <c r="O239" i="3" s="1"/>
  <c r="AB238" i="3"/>
  <c r="AA238" i="3"/>
  <c r="V238" i="3"/>
  <c r="N238" i="3"/>
  <c r="Q238" i="3" s="1"/>
  <c r="AB237" i="3"/>
  <c r="AA237" i="3"/>
  <c r="V237" i="3"/>
  <c r="N237" i="3"/>
  <c r="AB236" i="3"/>
  <c r="AA236" i="3"/>
  <c r="V236" i="3"/>
  <c r="N236" i="3"/>
  <c r="AB235" i="3"/>
  <c r="AA235" i="3"/>
  <c r="V235" i="3"/>
  <c r="O235" i="3"/>
  <c r="N235" i="3"/>
  <c r="Q235" i="3" s="1"/>
  <c r="AB234" i="3"/>
  <c r="AA234" i="3"/>
  <c r="V234" i="3"/>
  <c r="R234" i="3"/>
  <c r="Q234" i="3"/>
  <c r="O234" i="3"/>
  <c r="N234" i="3"/>
  <c r="S234" i="3" s="1"/>
  <c r="AB233" i="3"/>
  <c r="AA233" i="3"/>
  <c r="V233" i="3"/>
  <c r="N233" i="3"/>
  <c r="R233" i="3" s="1"/>
  <c r="AB232" i="3"/>
  <c r="AA232" i="3"/>
  <c r="V232" i="3"/>
  <c r="S232" i="3"/>
  <c r="O232" i="3"/>
  <c r="N232" i="3"/>
  <c r="R232" i="3" s="1"/>
  <c r="AB231" i="3"/>
  <c r="AA231" i="3"/>
  <c r="V231" i="3"/>
  <c r="N231" i="3"/>
  <c r="AB230" i="3"/>
  <c r="AA230" i="3"/>
  <c r="V230" i="3"/>
  <c r="N230" i="3"/>
  <c r="AB229" i="3"/>
  <c r="AA229" i="3"/>
  <c r="V229" i="3"/>
  <c r="N229" i="3"/>
  <c r="AB228" i="3"/>
  <c r="AA228" i="3"/>
  <c r="V228" i="3"/>
  <c r="O228" i="3"/>
  <c r="N228" i="3"/>
  <c r="R228" i="3" s="1"/>
  <c r="AB227" i="3"/>
  <c r="AA227" i="3"/>
  <c r="V227" i="3"/>
  <c r="N227" i="3"/>
  <c r="AB226" i="3"/>
  <c r="AA226" i="3"/>
  <c r="V226" i="3"/>
  <c r="S226" i="3"/>
  <c r="Q226" i="3"/>
  <c r="O226" i="3"/>
  <c r="N226" i="3"/>
  <c r="AB225" i="3"/>
  <c r="AA225" i="3"/>
  <c r="V225" i="3"/>
  <c r="N225" i="3"/>
  <c r="AB224" i="3"/>
  <c r="AA224" i="3"/>
  <c r="V224" i="3"/>
  <c r="S224" i="3"/>
  <c r="O224" i="3"/>
  <c r="N224" i="3"/>
  <c r="AB223" i="3"/>
  <c r="AA223" i="3"/>
  <c r="V223" i="3"/>
  <c r="N223" i="3"/>
  <c r="AB222" i="3"/>
  <c r="AA222" i="3"/>
  <c r="V222" i="3"/>
  <c r="N222" i="3"/>
  <c r="AB221" i="3"/>
  <c r="AA221" i="3"/>
  <c r="V221" i="3"/>
  <c r="P221" i="3"/>
  <c r="N221" i="3"/>
  <c r="S221" i="3" s="1"/>
  <c r="AB220" i="3"/>
  <c r="AA220" i="3"/>
  <c r="V220" i="3"/>
  <c r="N220" i="3"/>
  <c r="AB219" i="3"/>
  <c r="AA219" i="3"/>
  <c r="V219" i="3"/>
  <c r="N219" i="3"/>
  <c r="AB218" i="3"/>
  <c r="AA218" i="3"/>
  <c r="V218" i="3"/>
  <c r="N218" i="3"/>
  <c r="AB217" i="3"/>
  <c r="AA217" i="3"/>
  <c r="V217" i="3"/>
  <c r="U217" i="3"/>
  <c r="S217" i="3"/>
  <c r="N217" i="3"/>
  <c r="P217" i="3" s="1"/>
  <c r="T217" i="3" s="1"/>
  <c r="AB216" i="3"/>
  <c r="AA216" i="3"/>
  <c r="V216" i="3"/>
  <c r="N216" i="3"/>
  <c r="AB215" i="3"/>
  <c r="AA215" i="3"/>
  <c r="V215" i="3"/>
  <c r="S215" i="3"/>
  <c r="P215" i="3"/>
  <c r="U215" i="3" s="1"/>
  <c r="N215" i="3"/>
  <c r="O215" i="3" s="1"/>
  <c r="AB214" i="3"/>
  <c r="AA214" i="3"/>
  <c r="V214" i="3"/>
  <c r="N214" i="3"/>
  <c r="AB213" i="3"/>
  <c r="AA213" i="3"/>
  <c r="V213" i="3"/>
  <c r="N213" i="3"/>
  <c r="AB212" i="3"/>
  <c r="AA212" i="3"/>
  <c r="V212" i="3"/>
  <c r="S212" i="3"/>
  <c r="Q212" i="3"/>
  <c r="N212" i="3"/>
  <c r="AB211" i="3"/>
  <c r="AA211" i="3"/>
  <c r="V211" i="3"/>
  <c r="O211" i="3"/>
  <c r="N211" i="3"/>
  <c r="AB210" i="3"/>
  <c r="AA210" i="3"/>
  <c r="V210" i="3"/>
  <c r="S210" i="3"/>
  <c r="N210" i="3"/>
  <c r="Q210" i="3" s="1"/>
  <c r="AB209" i="3"/>
  <c r="AA209" i="3"/>
  <c r="V209" i="3"/>
  <c r="R209" i="3"/>
  <c r="P209" i="3"/>
  <c r="U209" i="3" s="1"/>
  <c r="N209" i="3"/>
  <c r="AB208" i="3"/>
  <c r="AA208" i="3"/>
  <c r="V208" i="3"/>
  <c r="N208" i="3"/>
  <c r="AB207" i="3"/>
  <c r="AA207" i="3"/>
  <c r="V207" i="3"/>
  <c r="R207" i="3"/>
  <c r="N207" i="3"/>
  <c r="AB206" i="3"/>
  <c r="AA206" i="3"/>
  <c r="V206" i="3"/>
  <c r="N206" i="3"/>
  <c r="AB205" i="3"/>
  <c r="AA205" i="3"/>
  <c r="V205" i="3"/>
  <c r="N205" i="3"/>
  <c r="S205" i="3" s="1"/>
  <c r="AB204" i="3"/>
  <c r="AA204" i="3"/>
  <c r="V204" i="3"/>
  <c r="S204" i="3"/>
  <c r="Q204" i="3"/>
  <c r="N204" i="3"/>
  <c r="AB203" i="3"/>
  <c r="AA203" i="3"/>
  <c r="V203" i="3"/>
  <c r="O203" i="3"/>
  <c r="N203" i="3"/>
  <c r="AB202" i="3"/>
  <c r="AA202" i="3"/>
  <c r="V202" i="3"/>
  <c r="S202" i="3"/>
  <c r="Q202" i="3"/>
  <c r="N202" i="3"/>
  <c r="O202" i="3" s="1"/>
  <c r="AB201" i="3"/>
  <c r="AA201" i="3"/>
  <c r="V201" i="3"/>
  <c r="R201" i="3"/>
  <c r="P201" i="3"/>
  <c r="U201" i="3" s="1"/>
  <c r="N201" i="3"/>
  <c r="AB200" i="3"/>
  <c r="AA200" i="3"/>
  <c r="V200" i="3"/>
  <c r="O200" i="3"/>
  <c r="N200" i="3"/>
  <c r="R200" i="3" s="1"/>
  <c r="AB199" i="3"/>
  <c r="AA199" i="3"/>
  <c r="V199" i="3"/>
  <c r="N199" i="3"/>
  <c r="AB198" i="3"/>
  <c r="AA198" i="3"/>
  <c r="V198" i="3"/>
  <c r="N198" i="3"/>
  <c r="AB197" i="3"/>
  <c r="AA197" i="3"/>
  <c r="V197" i="3"/>
  <c r="P197" i="3"/>
  <c r="N197" i="3"/>
  <c r="S197" i="3" s="1"/>
  <c r="AB196" i="3"/>
  <c r="AA196" i="3"/>
  <c r="V196" i="3"/>
  <c r="O196" i="3"/>
  <c r="N196" i="3"/>
  <c r="P196" i="3" s="1"/>
  <c r="U196" i="3" s="1"/>
  <c r="AB195" i="3"/>
  <c r="AA195" i="3"/>
  <c r="V195" i="3"/>
  <c r="N195" i="3"/>
  <c r="AB194" i="3"/>
  <c r="AA194" i="3"/>
  <c r="V194" i="3"/>
  <c r="R194" i="3"/>
  <c r="P194" i="3"/>
  <c r="T194" i="3" s="1"/>
  <c r="N194" i="3"/>
  <c r="Q194" i="3" s="1"/>
  <c r="AB193" i="3"/>
  <c r="AA193" i="3"/>
  <c r="V193" i="3"/>
  <c r="S193" i="3"/>
  <c r="R193" i="3"/>
  <c r="N193" i="3"/>
  <c r="Q193" i="3" s="1"/>
  <c r="AB192" i="3"/>
  <c r="AA192" i="3"/>
  <c r="V192" i="3"/>
  <c r="N192" i="3"/>
  <c r="AB191" i="3"/>
  <c r="AA191" i="3"/>
  <c r="V191" i="3"/>
  <c r="S191" i="3"/>
  <c r="P191" i="3"/>
  <c r="U191" i="3" s="1"/>
  <c r="N191" i="3"/>
  <c r="AB190" i="3"/>
  <c r="AA190" i="3"/>
  <c r="V190" i="3"/>
  <c r="N190" i="3"/>
  <c r="AB189" i="3"/>
  <c r="AA189" i="3"/>
  <c r="V189" i="3"/>
  <c r="N189" i="3"/>
  <c r="AB188" i="3"/>
  <c r="AA188" i="3"/>
  <c r="V188" i="3"/>
  <c r="R188" i="3"/>
  <c r="Q188" i="3"/>
  <c r="N188" i="3"/>
  <c r="O188" i="3" s="1"/>
  <c r="AB187" i="3"/>
  <c r="AA187" i="3"/>
  <c r="V187" i="3"/>
  <c r="N187" i="3"/>
  <c r="AB186" i="3"/>
  <c r="AA186" i="3"/>
  <c r="V186" i="3"/>
  <c r="N186" i="3"/>
  <c r="AB185" i="3"/>
  <c r="AA185" i="3"/>
  <c r="V185" i="3"/>
  <c r="N185" i="3"/>
  <c r="AB184" i="3"/>
  <c r="AA184" i="3"/>
  <c r="V184" i="3"/>
  <c r="S184" i="3"/>
  <c r="N184" i="3"/>
  <c r="AB183" i="3"/>
  <c r="AA183" i="3"/>
  <c r="V183" i="3"/>
  <c r="N183" i="3"/>
  <c r="AB182" i="3"/>
  <c r="AA182" i="3"/>
  <c r="V182" i="3"/>
  <c r="N182" i="3"/>
  <c r="AB181" i="3"/>
  <c r="AA181" i="3"/>
  <c r="V181" i="3"/>
  <c r="Q181" i="3"/>
  <c r="N181" i="3"/>
  <c r="S181" i="3" s="1"/>
  <c r="AB180" i="3"/>
  <c r="AA180" i="3"/>
  <c r="V180" i="3"/>
  <c r="R180" i="3"/>
  <c r="Q180" i="3"/>
  <c r="N180" i="3"/>
  <c r="AB179" i="3"/>
  <c r="AA179" i="3"/>
  <c r="V179" i="3"/>
  <c r="N179" i="3"/>
  <c r="O179" i="3" s="1"/>
  <c r="AB178" i="3"/>
  <c r="AA178" i="3"/>
  <c r="V178" i="3"/>
  <c r="R178" i="3"/>
  <c r="N178" i="3"/>
  <c r="P178" i="3" s="1"/>
  <c r="AB177" i="3"/>
  <c r="AA177" i="3"/>
  <c r="V177" i="3"/>
  <c r="N177" i="3"/>
  <c r="AB176" i="3"/>
  <c r="AA176" i="3"/>
  <c r="V176" i="3"/>
  <c r="O176" i="3"/>
  <c r="N176" i="3"/>
  <c r="AB175" i="3"/>
  <c r="AA175" i="3"/>
  <c r="V175" i="3"/>
  <c r="N175" i="3"/>
  <c r="AB174" i="3"/>
  <c r="AA174" i="3"/>
  <c r="V174" i="3"/>
  <c r="N174" i="3"/>
  <c r="AB173" i="3"/>
  <c r="AA173" i="3"/>
  <c r="V173" i="3"/>
  <c r="N173" i="3"/>
  <c r="P173" i="3" s="1"/>
  <c r="AB172" i="3"/>
  <c r="AA172" i="3"/>
  <c r="V172" i="3"/>
  <c r="N172" i="3"/>
  <c r="AB171" i="3"/>
  <c r="AA171" i="3"/>
  <c r="V171" i="3"/>
  <c r="N171" i="3"/>
  <c r="O171" i="3" s="1"/>
  <c r="AB170" i="3"/>
  <c r="AA170" i="3"/>
  <c r="V170" i="3"/>
  <c r="S170" i="3"/>
  <c r="P170" i="3"/>
  <c r="T170" i="3" s="1"/>
  <c r="O170" i="3"/>
  <c r="N170" i="3"/>
  <c r="Q170" i="3" s="1"/>
  <c r="AB169" i="3"/>
  <c r="AA169" i="3"/>
  <c r="V169" i="3"/>
  <c r="R169" i="3"/>
  <c r="P169" i="3"/>
  <c r="T169" i="3" s="1"/>
  <c r="N169" i="3"/>
  <c r="Q169" i="3" s="1"/>
  <c r="AB168" i="3"/>
  <c r="AA168" i="3"/>
  <c r="V168" i="3"/>
  <c r="N168" i="3"/>
  <c r="AB167" i="3"/>
  <c r="AA167" i="3"/>
  <c r="V167" i="3"/>
  <c r="N167" i="3"/>
  <c r="AB166" i="3"/>
  <c r="AA166" i="3"/>
  <c r="V166" i="3"/>
  <c r="N166" i="3"/>
  <c r="AB165" i="3"/>
  <c r="AA165" i="3"/>
  <c r="V165" i="3"/>
  <c r="Q165" i="3"/>
  <c r="N165" i="3"/>
  <c r="AB164" i="3"/>
  <c r="AA164" i="3"/>
  <c r="V164" i="3"/>
  <c r="Q164" i="3"/>
  <c r="O164" i="3"/>
  <c r="N164" i="3"/>
  <c r="AB163" i="3"/>
  <c r="AA163" i="3"/>
  <c r="V163" i="3"/>
  <c r="N163" i="3"/>
  <c r="AB162" i="3"/>
  <c r="AA162" i="3"/>
  <c r="V162" i="3"/>
  <c r="U162" i="3"/>
  <c r="S162" i="3"/>
  <c r="R162" i="3"/>
  <c r="N162" i="3"/>
  <c r="P162" i="3" s="1"/>
  <c r="T162" i="3" s="1"/>
  <c r="AB161" i="3"/>
  <c r="AA161" i="3"/>
  <c r="V161" i="3"/>
  <c r="N161" i="3"/>
  <c r="AB160" i="3"/>
  <c r="AA160" i="3"/>
  <c r="V160" i="3"/>
  <c r="S160" i="3"/>
  <c r="O160" i="3"/>
  <c r="N160" i="3"/>
  <c r="AB159" i="3"/>
  <c r="AA159" i="3"/>
  <c r="V159" i="3"/>
  <c r="N159" i="3"/>
  <c r="AB158" i="3"/>
  <c r="AA158" i="3"/>
  <c r="V158" i="3"/>
  <c r="N158" i="3"/>
  <c r="AB157" i="3"/>
  <c r="AA157" i="3"/>
  <c r="V157" i="3"/>
  <c r="Q157" i="3"/>
  <c r="P157" i="3"/>
  <c r="N157" i="3"/>
  <c r="S157" i="3" s="1"/>
  <c r="AB156" i="3"/>
  <c r="AA156" i="3"/>
  <c r="V156" i="3"/>
  <c r="S156" i="3"/>
  <c r="N156" i="3"/>
  <c r="AB155" i="3"/>
  <c r="AA155" i="3"/>
  <c r="V155" i="3"/>
  <c r="N155" i="3"/>
  <c r="AB154" i="3"/>
  <c r="AA154" i="3"/>
  <c r="V154" i="3"/>
  <c r="N154" i="3"/>
  <c r="AB153" i="3"/>
  <c r="AA153" i="3"/>
  <c r="V153" i="3"/>
  <c r="P153" i="3"/>
  <c r="N153" i="3"/>
  <c r="AB152" i="3"/>
  <c r="AA152" i="3"/>
  <c r="V152" i="3"/>
  <c r="N152" i="3"/>
  <c r="AB151" i="3"/>
  <c r="AA151" i="3"/>
  <c r="V151" i="3"/>
  <c r="S151" i="3"/>
  <c r="R151" i="3"/>
  <c r="P151" i="3"/>
  <c r="N151" i="3"/>
  <c r="O151" i="3" s="1"/>
  <c r="AB150" i="3"/>
  <c r="AA150" i="3"/>
  <c r="V150" i="3"/>
  <c r="N150" i="3"/>
  <c r="AB149" i="3"/>
  <c r="AA149" i="3"/>
  <c r="V149" i="3"/>
  <c r="N149" i="3"/>
  <c r="AB148" i="3"/>
  <c r="AA148" i="3"/>
  <c r="V148" i="3"/>
  <c r="S148" i="3"/>
  <c r="R148" i="3"/>
  <c r="Q148" i="3"/>
  <c r="O148" i="3"/>
  <c r="N148" i="3"/>
  <c r="P148" i="3" s="1"/>
  <c r="U148" i="3" s="1"/>
  <c r="AB147" i="3"/>
  <c r="AA147" i="3"/>
  <c r="V147" i="3"/>
  <c r="N147" i="3"/>
  <c r="O147" i="3" s="1"/>
  <c r="AB146" i="3"/>
  <c r="AA146" i="3"/>
  <c r="V146" i="3"/>
  <c r="R146" i="3"/>
  <c r="N146" i="3"/>
  <c r="Q146" i="3" s="1"/>
  <c r="AB145" i="3"/>
  <c r="AA145" i="3"/>
  <c r="V145" i="3"/>
  <c r="T145" i="3"/>
  <c r="S145" i="3"/>
  <c r="R145" i="3"/>
  <c r="P145" i="3"/>
  <c r="U145" i="3" s="1"/>
  <c r="N145" i="3"/>
  <c r="Q145" i="3" s="1"/>
  <c r="AB144" i="3"/>
  <c r="AA144" i="3"/>
  <c r="V144" i="3"/>
  <c r="U144" i="3"/>
  <c r="S144" i="3"/>
  <c r="P144" i="3"/>
  <c r="T144" i="3" s="1"/>
  <c r="O144" i="3"/>
  <c r="N144" i="3"/>
  <c r="R144" i="3" s="1"/>
  <c r="AB143" i="3"/>
  <c r="AA143" i="3"/>
  <c r="V143" i="3"/>
  <c r="S143" i="3"/>
  <c r="N143" i="3"/>
  <c r="P143" i="3" s="1"/>
  <c r="AB142" i="3"/>
  <c r="AA142" i="3"/>
  <c r="V142" i="3"/>
  <c r="N142" i="3"/>
  <c r="S142" i="3" s="1"/>
  <c r="AB141" i="3"/>
  <c r="AA141" i="3"/>
  <c r="V141" i="3"/>
  <c r="Q141" i="3"/>
  <c r="N141" i="3"/>
  <c r="P141" i="3" s="1"/>
  <c r="AB140" i="3"/>
  <c r="AA140" i="3"/>
  <c r="V140" i="3"/>
  <c r="S140" i="3"/>
  <c r="R140" i="3"/>
  <c r="Q140" i="3"/>
  <c r="N140" i="3"/>
  <c r="AB139" i="3"/>
  <c r="AA139" i="3"/>
  <c r="V139" i="3"/>
  <c r="N139" i="3"/>
  <c r="O139" i="3" s="1"/>
  <c r="AB138" i="3"/>
  <c r="AA138" i="3"/>
  <c r="V138" i="3"/>
  <c r="P138" i="3"/>
  <c r="O138" i="3"/>
  <c r="N138" i="3"/>
  <c r="S138" i="3" s="1"/>
  <c r="AB137" i="3"/>
  <c r="AA137" i="3"/>
  <c r="V137" i="3"/>
  <c r="N137" i="3"/>
  <c r="S137" i="3" s="1"/>
  <c r="AB136" i="3"/>
  <c r="AA136" i="3"/>
  <c r="V136" i="3"/>
  <c r="P136" i="3"/>
  <c r="T136" i="3" s="1"/>
  <c r="O136" i="3"/>
  <c r="N136" i="3"/>
  <c r="R136" i="3" s="1"/>
  <c r="AB135" i="3"/>
  <c r="AA135" i="3"/>
  <c r="V135" i="3"/>
  <c r="N135" i="3"/>
  <c r="AB134" i="3"/>
  <c r="AA134" i="3"/>
  <c r="V134" i="3"/>
  <c r="N134" i="3"/>
  <c r="AB133" i="3"/>
  <c r="AA133" i="3"/>
  <c r="V133" i="3"/>
  <c r="N133" i="3"/>
  <c r="AB132" i="3"/>
  <c r="AA132" i="3"/>
  <c r="V132" i="3"/>
  <c r="N132" i="3"/>
  <c r="AB131" i="3"/>
  <c r="AA131" i="3"/>
  <c r="V131" i="3"/>
  <c r="N131" i="3"/>
  <c r="AB130" i="3"/>
  <c r="AA130" i="3"/>
  <c r="V130" i="3"/>
  <c r="R130" i="3"/>
  <c r="Q130" i="3"/>
  <c r="O130" i="3"/>
  <c r="N130" i="3"/>
  <c r="AB129" i="3"/>
  <c r="AA129" i="3"/>
  <c r="V129" i="3"/>
  <c r="U129" i="3"/>
  <c r="R129" i="3"/>
  <c r="P129" i="3"/>
  <c r="T129" i="3" s="1"/>
  <c r="N129" i="3"/>
  <c r="AB128" i="3"/>
  <c r="AA128" i="3"/>
  <c r="V128" i="3"/>
  <c r="O128" i="3"/>
  <c r="N128" i="3"/>
  <c r="AB127" i="3"/>
  <c r="AA127" i="3"/>
  <c r="V127" i="3"/>
  <c r="S127" i="3"/>
  <c r="P127" i="3"/>
  <c r="N127" i="3"/>
  <c r="AB126" i="3"/>
  <c r="AA126" i="3"/>
  <c r="V126" i="3"/>
  <c r="N126" i="3"/>
  <c r="S126" i="3" s="1"/>
  <c r="AB125" i="3"/>
  <c r="AA125" i="3"/>
  <c r="V125" i="3"/>
  <c r="Q125" i="3"/>
  <c r="P125" i="3"/>
  <c r="N125" i="3"/>
  <c r="AB124" i="3"/>
  <c r="AA124" i="3"/>
  <c r="V124" i="3"/>
  <c r="S124" i="3"/>
  <c r="R124" i="3"/>
  <c r="Q124" i="3"/>
  <c r="O124" i="3"/>
  <c r="N124" i="3"/>
  <c r="P124" i="3" s="1"/>
  <c r="U124" i="3" s="1"/>
  <c r="AB123" i="3"/>
  <c r="AA123" i="3"/>
  <c r="V123" i="3"/>
  <c r="N123" i="3"/>
  <c r="AB122" i="3"/>
  <c r="AA122" i="3"/>
  <c r="V122" i="3"/>
  <c r="O122" i="3"/>
  <c r="N122" i="3"/>
  <c r="AB121" i="3"/>
  <c r="AA121" i="3"/>
  <c r="V121" i="3"/>
  <c r="N121" i="3"/>
  <c r="Q121" i="3" s="1"/>
  <c r="AB120" i="3"/>
  <c r="AA120" i="3"/>
  <c r="V120" i="3"/>
  <c r="P120" i="3"/>
  <c r="T120" i="3" s="1"/>
  <c r="O120" i="3"/>
  <c r="N120" i="3"/>
  <c r="R120" i="3" s="1"/>
  <c r="AB119" i="3"/>
  <c r="AA119" i="3"/>
  <c r="V119" i="3"/>
  <c r="N119" i="3"/>
  <c r="AB118" i="3"/>
  <c r="AA118" i="3"/>
  <c r="V118" i="3"/>
  <c r="S118" i="3"/>
  <c r="N118" i="3"/>
  <c r="AB117" i="3"/>
  <c r="AA117" i="3"/>
  <c r="V117" i="3"/>
  <c r="Q117" i="3"/>
  <c r="N117" i="3"/>
  <c r="AB116" i="3"/>
  <c r="AA116" i="3"/>
  <c r="V116" i="3"/>
  <c r="Q116" i="3"/>
  <c r="O116" i="3"/>
  <c r="N116" i="3"/>
  <c r="P116" i="3" s="1"/>
  <c r="U116" i="3" s="1"/>
  <c r="AB115" i="3"/>
  <c r="AA115" i="3"/>
  <c r="V115" i="3"/>
  <c r="N115" i="3"/>
  <c r="O115" i="3" s="1"/>
  <c r="AB114" i="3"/>
  <c r="AA114" i="3"/>
  <c r="V114" i="3"/>
  <c r="R114" i="3"/>
  <c r="N114" i="3"/>
  <c r="AB113" i="3"/>
  <c r="AA113" i="3"/>
  <c r="V113" i="3"/>
  <c r="N113" i="3"/>
  <c r="AB112" i="3"/>
  <c r="AA112" i="3"/>
  <c r="V112" i="3"/>
  <c r="N112" i="3"/>
  <c r="AB111" i="3"/>
  <c r="AA111" i="3"/>
  <c r="V111" i="3"/>
  <c r="S111" i="3"/>
  <c r="N111" i="3"/>
  <c r="O111" i="3" s="1"/>
  <c r="AB110" i="3"/>
  <c r="AA110" i="3"/>
  <c r="V110" i="3"/>
  <c r="N110" i="3"/>
  <c r="AB109" i="3"/>
  <c r="AA109" i="3"/>
  <c r="V109" i="3"/>
  <c r="N109" i="3"/>
  <c r="AB108" i="3"/>
  <c r="AA108" i="3"/>
  <c r="V108" i="3"/>
  <c r="R108" i="3"/>
  <c r="Q108" i="3"/>
  <c r="N108" i="3"/>
  <c r="AB107" i="3"/>
  <c r="AA107" i="3"/>
  <c r="V107" i="3"/>
  <c r="N107" i="3"/>
  <c r="AB106" i="3"/>
  <c r="AA106" i="3"/>
  <c r="V106" i="3"/>
  <c r="Q106" i="3"/>
  <c r="P106" i="3"/>
  <c r="N106" i="3"/>
  <c r="AB105" i="3"/>
  <c r="AA105" i="3"/>
  <c r="V105" i="3"/>
  <c r="R105" i="3"/>
  <c r="N105" i="3"/>
  <c r="AB104" i="3"/>
  <c r="AA104" i="3"/>
  <c r="V104" i="3"/>
  <c r="N104" i="3"/>
  <c r="AB103" i="3"/>
  <c r="AA103" i="3"/>
  <c r="V103" i="3"/>
  <c r="S103" i="3"/>
  <c r="N103" i="3"/>
  <c r="AB102" i="3"/>
  <c r="AA102" i="3"/>
  <c r="V102" i="3"/>
  <c r="S102" i="3"/>
  <c r="N102" i="3"/>
  <c r="AB101" i="3"/>
  <c r="AA101" i="3"/>
  <c r="V101" i="3"/>
  <c r="P101" i="3"/>
  <c r="U101" i="3" s="1"/>
  <c r="N101" i="3"/>
  <c r="Q101" i="3" s="1"/>
  <c r="AB100" i="3"/>
  <c r="AA100" i="3"/>
  <c r="V100" i="3"/>
  <c r="S100" i="3"/>
  <c r="R100" i="3"/>
  <c r="Q100" i="3"/>
  <c r="O100" i="3"/>
  <c r="N100" i="3"/>
  <c r="P100" i="3" s="1"/>
  <c r="U100" i="3" s="1"/>
  <c r="AB99" i="3"/>
  <c r="AA99" i="3"/>
  <c r="V99" i="3"/>
  <c r="O99" i="3"/>
  <c r="N99" i="3"/>
  <c r="R99" i="3" s="1"/>
  <c r="AB98" i="3"/>
  <c r="AA98" i="3"/>
  <c r="V98" i="3"/>
  <c r="R98" i="3"/>
  <c r="N98" i="3"/>
  <c r="Q98" i="3" s="1"/>
  <c r="AB97" i="3"/>
  <c r="AA97" i="3"/>
  <c r="V97" i="3"/>
  <c r="S97" i="3"/>
  <c r="N97" i="3"/>
  <c r="P97" i="3" s="1"/>
  <c r="AB96" i="3"/>
  <c r="AA96" i="3"/>
  <c r="V96" i="3"/>
  <c r="N96" i="3"/>
  <c r="S96" i="3" s="1"/>
  <c r="AB95" i="3"/>
  <c r="AA95" i="3"/>
  <c r="V95" i="3"/>
  <c r="N95" i="3"/>
  <c r="O95" i="3" s="1"/>
  <c r="AB94" i="3"/>
  <c r="AA94" i="3"/>
  <c r="V94" i="3"/>
  <c r="N94" i="3"/>
  <c r="AB93" i="3"/>
  <c r="AA93" i="3"/>
  <c r="V93" i="3"/>
  <c r="Q93" i="3"/>
  <c r="N93" i="3"/>
  <c r="AB92" i="3"/>
  <c r="AA92" i="3"/>
  <c r="V92" i="3"/>
  <c r="S92" i="3"/>
  <c r="R92" i="3"/>
  <c r="Q92" i="3"/>
  <c r="O92" i="3"/>
  <c r="N92" i="3"/>
  <c r="P92" i="3" s="1"/>
  <c r="U92" i="3" s="1"/>
  <c r="AB91" i="3"/>
  <c r="AA91" i="3"/>
  <c r="V91" i="3"/>
  <c r="R91" i="3"/>
  <c r="O91" i="3"/>
  <c r="N91" i="3"/>
  <c r="AB90" i="3"/>
  <c r="AA90" i="3"/>
  <c r="V90" i="3"/>
  <c r="U90" i="3"/>
  <c r="R90" i="3"/>
  <c r="Q90" i="3"/>
  <c r="P90" i="3"/>
  <c r="T90" i="3" s="1"/>
  <c r="N90" i="3"/>
  <c r="S90" i="3" s="1"/>
  <c r="AB89" i="3"/>
  <c r="AA89" i="3"/>
  <c r="V89" i="3"/>
  <c r="U89" i="3"/>
  <c r="T89" i="3"/>
  <c r="S89" i="3"/>
  <c r="P89" i="3"/>
  <c r="N89" i="3"/>
  <c r="AB88" i="3"/>
  <c r="AA88" i="3"/>
  <c r="V88" i="3"/>
  <c r="S88" i="3"/>
  <c r="N88" i="3"/>
  <c r="O88" i="3" s="1"/>
  <c r="AB87" i="3"/>
  <c r="AA87" i="3"/>
  <c r="V87" i="3"/>
  <c r="S87" i="3"/>
  <c r="R87" i="3"/>
  <c r="Q87" i="3"/>
  <c r="N87" i="3"/>
  <c r="AB86" i="3"/>
  <c r="AA86" i="3"/>
  <c r="V86" i="3"/>
  <c r="S86" i="3"/>
  <c r="N86" i="3"/>
  <c r="Q86" i="3" s="1"/>
  <c r="AB85" i="3"/>
  <c r="AA85" i="3"/>
  <c r="V85" i="3"/>
  <c r="Q85" i="3"/>
  <c r="N85" i="3"/>
  <c r="O85" i="3" s="1"/>
  <c r="AB84" i="3"/>
  <c r="AA84" i="3"/>
  <c r="V84" i="3"/>
  <c r="N84" i="3"/>
  <c r="AB83" i="3"/>
  <c r="AA83" i="3"/>
  <c r="V83" i="3"/>
  <c r="N83" i="3"/>
  <c r="AB82" i="3"/>
  <c r="AA82" i="3"/>
  <c r="V82" i="3"/>
  <c r="Q82" i="3"/>
  <c r="N82" i="3"/>
  <c r="AB81" i="3"/>
  <c r="AA81" i="3"/>
  <c r="V81" i="3"/>
  <c r="N81" i="3"/>
  <c r="AB80" i="3"/>
  <c r="AA80" i="3"/>
  <c r="V80" i="3"/>
  <c r="N80" i="3"/>
  <c r="AB79" i="3"/>
  <c r="AA79" i="3"/>
  <c r="V79" i="3"/>
  <c r="N79" i="3"/>
  <c r="S79" i="3" s="1"/>
  <c r="AB78" i="3"/>
  <c r="AA78" i="3"/>
  <c r="V78" i="3"/>
  <c r="S78" i="3"/>
  <c r="N78" i="3"/>
  <c r="Q78" i="3" s="1"/>
  <c r="AB77" i="3"/>
  <c r="AA77" i="3"/>
  <c r="V77" i="3"/>
  <c r="Q77" i="3"/>
  <c r="P77" i="3"/>
  <c r="O77" i="3"/>
  <c r="N77" i="3"/>
  <c r="AB76" i="3"/>
  <c r="AA76" i="3"/>
  <c r="V76" i="3"/>
  <c r="S76" i="3"/>
  <c r="R76" i="3"/>
  <c r="Q76" i="3"/>
  <c r="O76" i="3"/>
  <c r="N76" i="3"/>
  <c r="P76" i="3" s="1"/>
  <c r="AB75" i="3"/>
  <c r="AA75" i="3"/>
  <c r="V75" i="3"/>
  <c r="R75" i="3"/>
  <c r="N75" i="3"/>
  <c r="AB74" i="3"/>
  <c r="AA74" i="3"/>
  <c r="V74" i="3"/>
  <c r="O74" i="3"/>
  <c r="P74" i="3" s="1"/>
  <c r="N74" i="3"/>
  <c r="AA73" i="3"/>
  <c r="AB73" i="3" s="1"/>
  <c r="V73" i="3"/>
  <c r="N73" i="3"/>
  <c r="AA72" i="3"/>
  <c r="AB72" i="3" s="1"/>
  <c r="V72" i="3"/>
  <c r="O72" i="3"/>
  <c r="N72" i="3"/>
  <c r="AA71" i="3"/>
  <c r="AB71" i="3" s="1"/>
  <c r="V71" i="3"/>
  <c r="N71" i="3"/>
  <c r="AB70" i="3"/>
  <c r="AA70" i="3"/>
  <c r="V70" i="3"/>
  <c r="N70" i="3"/>
  <c r="AA69" i="3"/>
  <c r="AB69" i="3" s="1"/>
  <c r="V69" i="3"/>
  <c r="Q69" i="3"/>
  <c r="O69" i="3"/>
  <c r="N69" i="3"/>
  <c r="AB68" i="3"/>
  <c r="AA68" i="3"/>
  <c r="V68" i="3"/>
  <c r="Q68" i="3"/>
  <c r="O68" i="3"/>
  <c r="N68" i="3"/>
  <c r="AA67" i="3"/>
  <c r="AB67" i="3" s="1"/>
  <c r="V67" i="3"/>
  <c r="N67" i="3"/>
  <c r="R67" i="3" s="1"/>
  <c r="AA66" i="3"/>
  <c r="AB66" i="3" s="1"/>
  <c r="V66" i="3"/>
  <c r="R66" i="3"/>
  <c r="N66" i="3"/>
  <c r="AA65" i="3"/>
  <c r="AB65" i="3" s="1"/>
  <c r="V65" i="3"/>
  <c r="N65" i="3"/>
  <c r="AA64" i="3"/>
  <c r="AB64" i="3" s="1"/>
  <c r="V64" i="3"/>
  <c r="N64" i="3"/>
  <c r="AA63" i="3"/>
  <c r="AB63" i="3" s="1"/>
  <c r="V63" i="3"/>
  <c r="O63" i="3"/>
  <c r="P63" i="3" s="1"/>
  <c r="N63" i="3"/>
  <c r="AA62" i="3"/>
  <c r="AB62" i="3" s="1"/>
  <c r="V62" i="3"/>
  <c r="Q62" i="3"/>
  <c r="O62" i="3"/>
  <c r="N62" i="3"/>
  <c r="AA61" i="3"/>
  <c r="AB61" i="3" s="1"/>
  <c r="V61" i="3"/>
  <c r="N61" i="3"/>
  <c r="AA60" i="3"/>
  <c r="AB60" i="3" s="1"/>
  <c r="V60" i="3"/>
  <c r="O60" i="3"/>
  <c r="N60" i="3"/>
  <c r="AA59" i="3"/>
  <c r="AB59" i="3" s="1"/>
  <c r="V59" i="3"/>
  <c r="N59" i="3"/>
  <c r="AA58" i="3"/>
  <c r="AB58" i="3" s="1"/>
  <c r="V58" i="3"/>
  <c r="Q58" i="3"/>
  <c r="N58" i="3"/>
  <c r="AA57" i="3"/>
  <c r="AB57" i="3" s="1"/>
  <c r="V57" i="3"/>
  <c r="N57" i="3"/>
  <c r="AB56" i="3"/>
  <c r="AA56" i="3"/>
  <c r="V56" i="3"/>
  <c r="N56" i="3"/>
  <c r="AA55" i="3"/>
  <c r="AB55" i="3" s="1"/>
  <c r="V55" i="3"/>
  <c r="N55" i="3"/>
  <c r="AB54" i="3"/>
  <c r="AA54" i="3"/>
  <c r="V54" i="3"/>
  <c r="O54" i="3"/>
  <c r="N54" i="3"/>
  <c r="AA53" i="3"/>
  <c r="AB53" i="3" s="1"/>
  <c r="V53" i="3"/>
  <c r="R53" i="3"/>
  <c r="P53" i="3"/>
  <c r="N53" i="3"/>
  <c r="O53" i="3" s="1"/>
  <c r="AA52" i="3"/>
  <c r="AB52" i="3" s="1"/>
  <c r="V52" i="3"/>
  <c r="N52" i="3"/>
  <c r="AA51" i="3"/>
  <c r="AB51" i="3" s="1"/>
  <c r="V51" i="3"/>
  <c r="N51" i="3"/>
  <c r="AA50" i="3"/>
  <c r="AB50" i="3" s="1"/>
  <c r="V50" i="3"/>
  <c r="N50" i="3"/>
  <c r="AA49" i="3"/>
  <c r="AB49" i="3" s="1"/>
  <c r="V49" i="3"/>
  <c r="N49" i="3"/>
  <c r="AA48" i="3"/>
  <c r="AB48" i="3" s="1"/>
  <c r="V48" i="3"/>
  <c r="Q48" i="3"/>
  <c r="O48" i="3"/>
  <c r="N48" i="3"/>
  <c r="AA47" i="3"/>
  <c r="AB47" i="3" s="1"/>
  <c r="V47" i="3"/>
  <c r="R47" i="3"/>
  <c r="Q47" i="3"/>
  <c r="N47" i="3"/>
  <c r="AA46" i="3"/>
  <c r="AB46" i="3" s="1"/>
  <c r="V46" i="3"/>
  <c r="R46" i="3"/>
  <c r="S46" i="3" s="1"/>
  <c r="O46" i="3"/>
  <c r="N46" i="3"/>
  <c r="Q46" i="3" s="1"/>
  <c r="AA45" i="3"/>
  <c r="AB45" i="3" s="1"/>
  <c r="V45" i="3"/>
  <c r="N45" i="3"/>
  <c r="AA44" i="3"/>
  <c r="AB44" i="3" s="1"/>
  <c r="V44" i="3"/>
  <c r="R44" i="3"/>
  <c r="Q44" i="3"/>
  <c r="O44" i="3"/>
  <c r="N44" i="3"/>
  <c r="AB43" i="3"/>
  <c r="AA43" i="3"/>
  <c r="V43" i="3"/>
  <c r="N43" i="3"/>
  <c r="AB42" i="3"/>
  <c r="AA42" i="3"/>
  <c r="V42" i="3"/>
  <c r="Q42" i="3"/>
  <c r="N42" i="3"/>
  <c r="AA41" i="3"/>
  <c r="AB41" i="3" s="1"/>
  <c r="V41" i="3"/>
  <c r="N41" i="3"/>
  <c r="AA40" i="3"/>
  <c r="AB40" i="3" s="1"/>
  <c r="V40" i="3"/>
  <c r="N40" i="3"/>
  <c r="AA39" i="3"/>
  <c r="AB39" i="3" s="1"/>
  <c r="V39" i="3"/>
  <c r="R39" i="3"/>
  <c r="N39" i="3"/>
  <c r="AA38" i="3"/>
  <c r="AB38" i="3" s="1"/>
  <c r="V38" i="3"/>
  <c r="O38" i="3"/>
  <c r="N38" i="3"/>
  <c r="AA37" i="3"/>
  <c r="AB37" i="3" s="1"/>
  <c r="V37" i="3"/>
  <c r="R37" i="3"/>
  <c r="P37" i="3"/>
  <c r="N37" i="3"/>
  <c r="O37" i="3" s="1"/>
  <c r="AA36" i="3"/>
  <c r="AB36" i="3" s="1"/>
  <c r="V36" i="3"/>
  <c r="N36" i="3"/>
  <c r="AA35" i="3"/>
  <c r="AB35" i="3" s="1"/>
  <c r="V35" i="3"/>
  <c r="N35" i="3"/>
  <c r="AA34" i="3"/>
  <c r="AB34" i="3" s="1"/>
  <c r="V34" i="3"/>
  <c r="N34" i="3"/>
  <c r="Q34" i="3" s="1"/>
  <c r="AA33" i="3"/>
  <c r="AB33" i="3" s="1"/>
  <c r="V33" i="3"/>
  <c r="N33" i="3"/>
  <c r="AA32" i="3"/>
  <c r="AB32" i="3" s="1"/>
  <c r="V32" i="3"/>
  <c r="Q32" i="3"/>
  <c r="N32" i="3"/>
  <c r="AB31" i="3"/>
  <c r="AA31" i="3"/>
  <c r="V31" i="3"/>
  <c r="N31" i="3"/>
  <c r="R31" i="3" s="1"/>
  <c r="AA30" i="3"/>
  <c r="AB30" i="3" s="1"/>
  <c r="V30" i="3"/>
  <c r="N30" i="3"/>
  <c r="AB29" i="3"/>
  <c r="AA29" i="3"/>
  <c r="V29" i="3"/>
  <c r="R29" i="3"/>
  <c r="P29" i="3"/>
  <c r="N29" i="3"/>
  <c r="O29" i="3" s="1"/>
  <c r="AA28" i="3"/>
  <c r="AB28" i="3" s="1"/>
  <c r="V28" i="3"/>
  <c r="R28" i="3"/>
  <c r="Q28" i="3"/>
  <c r="S28" i="3" s="1"/>
  <c r="P28" i="3"/>
  <c r="N28" i="3"/>
  <c r="O28" i="3" s="1"/>
  <c r="AA27" i="3"/>
  <c r="AB27" i="3" s="1"/>
  <c r="V27" i="3"/>
  <c r="N27" i="3"/>
  <c r="AA26" i="3"/>
  <c r="AB26" i="3" s="1"/>
  <c r="V26" i="3"/>
  <c r="N26" i="3"/>
  <c r="AA25" i="3"/>
  <c r="AB25" i="3" s="1"/>
  <c r="V25" i="3"/>
  <c r="N25" i="3"/>
  <c r="AA24" i="3"/>
  <c r="AB24" i="3" s="1"/>
  <c r="V24" i="3"/>
  <c r="N24" i="3"/>
  <c r="AA23" i="3"/>
  <c r="AB23" i="3" s="1"/>
  <c r="V23" i="3"/>
  <c r="P23" i="3"/>
  <c r="O23" i="3"/>
  <c r="N23" i="3"/>
  <c r="AA22" i="3"/>
  <c r="AB22" i="3" s="1"/>
  <c r="V22" i="3"/>
  <c r="N22" i="3"/>
  <c r="AA21" i="3"/>
  <c r="AB21" i="3" s="1"/>
  <c r="V21" i="3"/>
  <c r="R21" i="3"/>
  <c r="P21" i="3"/>
  <c r="N21" i="3"/>
  <c r="O21" i="3" s="1"/>
  <c r="AA20" i="3"/>
  <c r="AB20" i="3" s="1"/>
  <c r="V20" i="3"/>
  <c r="R20" i="3"/>
  <c r="Q20" i="3"/>
  <c r="S20" i="3" s="1"/>
  <c r="N20" i="3"/>
  <c r="AA19" i="3"/>
  <c r="AB19" i="3" s="1"/>
  <c r="V19" i="3"/>
  <c r="N19" i="3"/>
  <c r="AA18" i="3"/>
  <c r="AB18" i="3" s="1"/>
  <c r="V18" i="3"/>
  <c r="N18" i="3"/>
  <c r="AA17" i="3"/>
  <c r="AB17" i="3" s="1"/>
  <c r="V17" i="3"/>
  <c r="N17" i="3"/>
  <c r="AA16" i="3"/>
  <c r="AB16" i="3" s="1"/>
  <c r="V16" i="3"/>
  <c r="Q16" i="3"/>
  <c r="O16" i="3"/>
  <c r="N16" i="3"/>
  <c r="AA15" i="3"/>
  <c r="AB15" i="3" s="1"/>
  <c r="V15" i="3"/>
  <c r="Q15" i="3"/>
  <c r="O15" i="3"/>
  <c r="P15" i="3" s="1"/>
  <c r="N15" i="3"/>
  <c r="AA14" i="3"/>
  <c r="AB14" i="3" s="1"/>
  <c r="V14" i="3"/>
  <c r="N14" i="3"/>
  <c r="Q14" i="3" s="1"/>
  <c r="AA13" i="3"/>
  <c r="AB13" i="3" s="1"/>
  <c r="V13" i="3"/>
  <c r="N13" i="3"/>
  <c r="AA12" i="3"/>
  <c r="AB12" i="3" s="1"/>
  <c r="V12" i="3"/>
  <c r="N12" i="3"/>
  <c r="AA11" i="3"/>
  <c r="AB11" i="3" s="1"/>
  <c r="V11" i="3"/>
  <c r="N11" i="3"/>
  <c r="AA10" i="3"/>
  <c r="AB10" i="3" s="1"/>
  <c r="V10" i="3"/>
  <c r="Q10" i="3"/>
  <c r="N10" i="3"/>
  <c r="AA9" i="3"/>
  <c r="AB9" i="3" s="1"/>
  <c r="V9" i="3"/>
  <c r="N9" i="3"/>
  <c r="AA8" i="3"/>
  <c r="AB8" i="3" s="1"/>
  <c r="V8" i="3"/>
  <c r="N8" i="3"/>
  <c r="AA7" i="3"/>
  <c r="AB7" i="3" s="1"/>
  <c r="V7" i="3"/>
  <c r="O7" i="3"/>
  <c r="N7" i="3"/>
  <c r="AA6" i="3"/>
  <c r="AB6" i="3" s="1"/>
  <c r="V6" i="3"/>
  <c r="O6" i="3"/>
  <c r="N6" i="3"/>
  <c r="AB5" i="3"/>
  <c r="AA5" i="3"/>
  <c r="V5" i="3"/>
  <c r="R5" i="3"/>
  <c r="P5" i="3"/>
  <c r="N5" i="3"/>
  <c r="O5" i="3" s="1"/>
  <c r="AB4" i="3"/>
  <c r="AA4" i="3"/>
  <c r="V4" i="3"/>
  <c r="Q4" i="3"/>
  <c r="N4" i="3"/>
  <c r="AA3" i="3"/>
  <c r="AB3" i="3" s="1"/>
  <c r="V3" i="3"/>
  <c r="N3" i="3"/>
  <c r="V2" i="3"/>
  <c r="N2" i="3"/>
  <c r="E6" i="6" l="1"/>
  <c r="F60" i="7"/>
  <c r="D26" i="7"/>
  <c r="D36" i="7"/>
  <c r="G28" i="8"/>
  <c r="H24" i="6"/>
  <c r="F41" i="6"/>
  <c r="D60" i="6"/>
  <c r="D38" i="7"/>
  <c r="J42" i="7"/>
  <c r="C60" i="7"/>
  <c r="C47" i="7"/>
  <c r="B62" i="7"/>
  <c r="F28" i="7"/>
  <c r="B38" i="7"/>
  <c r="G26" i="7"/>
  <c r="F36" i="7"/>
  <c r="B40" i="7"/>
  <c r="J60" i="7"/>
  <c r="J26" i="7"/>
  <c r="J36" i="7"/>
  <c r="D40" i="7"/>
  <c r="G50" i="7"/>
  <c r="G40" i="7"/>
  <c r="B46" i="7"/>
  <c r="G61" i="7"/>
  <c r="K55" i="6"/>
  <c r="G36" i="6"/>
  <c r="C31" i="6"/>
  <c r="G27" i="6"/>
  <c r="G31" i="6"/>
  <c r="K31" i="6"/>
  <c r="B36" i="6"/>
  <c r="G32" i="6"/>
  <c r="F49" i="6"/>
  <c r="L32" i="6"/>
  <c r="G44" i="6"/>
  <c r="H44" i="6"/>
  <c r="B25" i="6"/>
  <c r="I25" i="6"/>
  <c r="D38" i="6"/>
  <c r="C63" i="6"/>
  <c r="G63" i="6"/>
  <c r="F26" i="6"/>
  <c r="G39" i="6"/>
  <c r="K43" i="6"/>
  <c r="G48" i="6"/>
  <c r="I23" i="6"/>
  <c r="K39" i="6"/>
  <c r="B60" i="6"/>
  <c r="F64" i="6"/>
  <c r="C32" i="6"/>
  <c r="F40" i="6"/>
  <c r="J56" i="6"/>
  <c r="J25" i="6"/>
  <c r="G40" i="6"/>
  <c r="L43" i="6"/>
  <c r="H48" i="6"/>
  <c r="K51" i="6"/>
  <c r="L54" i="6"/>
  <c r="D63" i="6"/>
  <c r="G64" i="6"/>
  <c r="J12" i="6"/>
  <c r="K12" i="6" s="1"/>
  <c r="B18" i="6"/>
  <c r="J18" i="6"/>
  <c r="B32" i="6"/>
  <c r="F36" i="6"/>
  <c r="H40" i="6"/>
  <c r="G47" i="6"/>
  <c r="J48" i="6"/>
  <c r="L51" i="6"/>
  <c r="I58" i="6"/>
  <c r="F60" i="6"/>
  <c r="H64" i="6"/>
  <c r="H47" i="6"/>
  <c r="K48" i="6"/>
  <c r="K60" i="6"/>
  <c r="J19" i="6"/>
  <c r="K19" i="6" s="1"/>
  <c r="B21" i="6"/>
  <c r="J24" i="6"/>
  <c r="D31" i="6"/>
  <c r="D32" i="6"/>
  <c r="G35" i="6"/>
  <c r="H36" i="6"/>
  <c r="H39" i="6"/>
  <c r="K47" i="6"/>
  <c r="H52" i="6"/>
  <c r="L55" i="6"/>
  <c r="C59" i="6"/>
  <c r="L60" i="6"/>
  <c r="H63" i="6"/>
  <c r="F65" i="6"/>
  <c r="C27" i="6"/>
  <c r="F32" i="6"/>
  <c r="H35" i="6"/>
  <c r="K36" i="6"/>
  <c r="L47" i="6"/>
  <c r="G65" i="6"/>
  <c r="J13" i="6"/>
  <c r="K35" i="6"/>
  <c r="B64" i="6"/>
  <c r="F25" i="6"/>
  <c r="H31" i="6"/>
  <c r="H32" i="6"/>
  <c r="D40" i="6"/>
  <c r="D46" i="6"/>
  <c r="F48" i="6"/>
  <c r="H50" i="6"/>
  <c r="D54" i="6"/>
  <c r="K56" i="6"/>
  <c r="C60" i="6"/>
  <c r="C64" i="6"/>
  <c r="E13" i="11"/>
  <c r="C9" i="5"/>
  <c r="C6" i="5"/>
  <c r="F22" i="7"/>
  <c r="G24" i="8"/>
  <c r="G27" i="8"/>
  <c r="G21" i="8"/>
  <c r="G29" i="8"/>
  <c r="B22" i="7"/>
  <c r="G32" i="7"/>
  <c r="F44" i="7"/>
  <c r="C50" i="7"/>
  <c r="C61" i="7"/>
  <c r="D64" i="7"/>
  <c r="D22" i="7"/>
  <c r="C26" i="7"/>
  <c r="C36" i="7"/>
  <c r="F42" i="7"/>
  <c r="J44" i="7"/>
  <c r="D50" i="7"/>
  <c r="B52" i="7"/>
  <c r="B60" i="7"/>
  <c r="D61" i="7"/>
  <c r="F26" i="7"/>
  <c r="B34" i="7"/>
  <c r="B45" i="7"/>
  <c r="F50" i="7"/>
  <c r="F52" i="7"/>
  <c r="B58" i="7"/>
  <c r="D34" i="7"/>
  <c r="C45" i="7"/>
  <c r="D58" i="7"/>
  <c r="G22" i="8"/>
  <c r="G23" i="8"/>
  <c r="G25" i="8"/>
  <c r="G26" i="8"/>
  <c r="G30" i="8"/>
  <c r="B44" i="7"/>
  <c r="D45" i="7"/>
  <c r="J50" i="7"/>
  <c r="F58" i="7"/>
  <c r="B18" i="7"/>
  <c r="E18" i="7" s="1"/>
  <c r="C44" i="7"/>
  <c r="G45" i="7"/>
  <c r="G58" i="7"/>
  <c r="C63" i="7"/>
  <c r="B32" i="7"/>
  <c r="B50" i="7"/>
  <c r="B61" i="7"/>
  <c r="B12" i="7"/>
  <c r="G24" i="7"/>
  <c r="D28" i="7"/>
  <c r="K33" i="7"/>
  <c r="J34" i="7"/>
  <c r="D42" i="7"/>
  <c r="F46" i="7"/>
  <c r="J48" i="7"/>
  <c r="D52" i="7"/>
  <c r="F62" i="7"/>
  <c r="J64" i="7"/>
  <c r="J24" i="7"/>
  <c r="G29" i="7"/>
  <c r="G53" i="7"/>
  <c r="J28" i="7"/>
  <c r="B30" i="7"/>
  <c r="D32" i="7"/>
  <c r="C34" i="7"/>
  <c r="B37" i="7"/>
  <c r="F38" i="7"/>
  <c r="J40" i="7"/>
  <c r="G42" i="7"/>
  <c r="D44" i="7"/>
  <c r="J52" i="7"/>
  <c r="B54" i="7"/>
  <c r="D56" i="7"/>
  <c r="D60" i="7"/>
  <c r="D30" i="7"/>
  <c r="C37" i="7"/>
  <c r="D54" i="7"/>
  <c r="G56" i="7"/>
  <c r="B29" i="7"/>
  <c r="F30" i="7"/>
  <c r="J32" i="7"/>
  <c r="D37" i="7"/>
  <c r="C39" i="7"/>
  <c r="B48" i="7"/>
  <c r="B53" i="7"/>
  <c r="F54" i="7"/>
  <c r="J56" i="7"/>
  <c r="B64" i="7"/>
  <c r="B24" i="7"/>
  <c r="B28" i="7"/>
  <c r="C29" i="7"/>
  <c r="F34" i="7"/>
  <c r="B42" i="7"/>
  <c r="G43" i="7"/>
  <c r="D48" i="7"/>
  <c r="C53" i="7"/>
  <c r="J58" i="7"/>
  <c r="D24" i="7"/>
  <c r="C28" i="7"/>
  <c r="D29" i="7"/>
  <c r="C31" i="7"/>
  <c r="G34" i="7"/>
  <c r="G37" i="7"/>
  <c r="C42" i="7"/>
  <c r="D46" i="7"/>
  <c r="G48" i="7"/>
  <c r="C52" i="7"/>
  <c r="D53" i="7"/>
  <c r="C55" i="7"/>
  <c r="D62" i="7"/>
  <c r="G64" i="7"/>
  <c r="G21" i="6"/>
  <c r="K24" i="6"/>
  <c r="B28" i="6"/>
  <c r="K28" i="6"/>
  <c r="J44" i="6"/>
  <c r="J52" i="6"/>
  <c r="D59" i="6"/>
  <c r="J28" i="6"/>
  <c r="B24" i="6"/>
  <c r="L24" i="6"/>
  <c r="C28" i="6"/>
  <c r="L28" i="6"/>
  <c r="D34" i="6"/>
  <c r="L35" i="6"/>
  <c r="H38" i="6"/>
  <c r="B44" i="6"/>
  <c r="K44" i="6"/>
  <c r="H46" i="6"/>
  <c r="B52" i="6"/>
  <c r="K52" i="6"/>
  <c r="C55" i="6"/>
  <c r="B56" i="6"/>
  <c r="G59" i="6"/>
  <c r="F18" i="6"/>
  <c r="H18" i="6" s="1"/>
  <c r="G16" i="6"/>
  <c r="H16" i="6" s="1"/>
  <c r="C24" i="6"/>
  <c r="D28" i="6"/>
  <c r="J36" i="6"/>
  <c r="L38" i="6"/>
  <c r="L39" i="6"/>
  <c r="J40" i="6"/>
  <c r="C43" i="6"/>
  <c r="C44" i="6"/>
  <c r="L44" i="6"/>
  <c r="L46" i="6"/>
  <c r="C51" i="6"/>
  <c r="C52" i="6"/>
  <c r="L52" i="6"/>
  <c r="D55" i="6"/>
  <c r="C56" i="6"/>
  <c r="F57" i="6"/>
  <c r="H59" i="6"/>
  <c r="D62" i="6"/>
  <c r="D24" i="6"/>
  <c r="K40" i="6"/>
  <c r="D43" i="6"/>
  <c r="D44" i="6"/>
  <c r="D51" i="6"/>
  <c r="D52" i="6"/>
  <c r="F56" i="6"/>
  <c r="K59" i="6"/>
  <c r="G60" i="6"/>
  <c r="K63" i="6"/>
  <c r="J64" i="6"/>
  <c r="F20" i="6"/>
  <c r="F24" i="6"/>
  <c r="C25" i="6"/>
  <c r="F28" i="6"/>
  <c r="L31" i="6"/>
  <c r="J32" i="6"/>
  <c r="C35" i="6"/>
  <c r="C36" i="6"/>
  <c r="L36" i="6"/>
  <c r="C39" i="6"/>
  <c r="B40" i="6"/>
  <c r="L40" i="6"/>
  <c r="G43" i="6"/>
  <c r="B45" i="6"/>
  <c r="T45" i="6" s="1"/>
  <c r="C47" i="6"/>
  <c r="B48" i="6"/>
  <c r="G51" i="6"/>
  <c r="G55" i="6"/>
  <c r="G56" i="6"/>
  <c r="L59" i="6"/>
  <c r="H60" i="6"/>
  <c r="L62" i="6"/>
  <c r="L63" i="6"/>
  <c r="K64" i="6"/>
  <c r="G24" i="6"/>
  <c r="G28" i="6"/>
  <c r="K32" i="6"/>
  <c r="D35" i="6"/>
  <c r="D39" i="6"/>
  <c r="C40" i="6"/>
  <c r="H43" i="6"/>
  <c r="J45" i="6"/>
  <c r="D47" i="6"/>
  <c r="C48" i="6"/>
  <c r="H51" i="6"/>
  <c r="F52" i="6"/>
  <c r="H55" i="6"/>
  <c r="H56" i="6"/>
  <c r="J60" i="6"/>
  <c r="G10" i="6"/>
  <c r="H28" i="6"/>
  <c r="G52" i="6"/>
  <c r="C3" i="4"/>
  <c r="C11" i="4"/>
  <c r="E12" i="11"/>
  <c r="B15" i="5"/>
  <c r="B16" i="5"/>
  <c r="B17" i="5"/>
  <c r="T97" i="3"/>
  <c r="U97" i="3"/>
  <c r="T178" i="3"/>
  <c r="U178" i="3"/>
  <c r="O4" i="3"/>
  <c r="P4" i="3" s="1"/>
  <c r="R4" i="3"/>
  <c r="S4" i="3" s="1"/>
  <c r="Q22" i="3"/>
  <c r="S22" i="3" s="1"/>
  <c r="R22" i="3"/>
  <c r="O22" i="3"/>
  <c r="Q50" i="3"/>
  <c r="P85" i="3"/>
  <c r="O183" i="3"/>
  <c r="P183" i="3"/>
  <c r="U183" i="3" s="1"/>
  <c r="R183" i="3"/>
  <c r="S183" i="3"/>
  <c r="U194" i="3"/>
  <c r="S242" i="3"/>
  <c r="O242" i="3"/>
  <c r="Q242" i="3"/>
  <c r="P242" i="3"/>
  <c r="R313" i="3"/>
  <c r="S313" i="3"/>
  <c r="Q355" i="3"/>
  <c r="R355" i="3"/>
  <c r="O355" i="3"/>
  <c r="S355" i="3"/>
  <c r="P355" i="3"/>
  <c r="P373" i="3"/>
  <c r="U373" i="3" s="1"/>
  <c r="O373" i="3"/>
  <c r="Q373" i="3"/>
  <c r="R373" i="3"/>
  <c r="S396" i="3"/>
  <c r="P396" i="3"/>
  <c r="O396" i="3"/>
  <c r="R396" i="3"/>
  <c r="Q396" i="3"/>
  <c r="Q30" i="3"/>
  <c r="R30" i="3"/>
  <c r="O30" i="3"/>
  <c r="O36" i="3"/>
  <c r="P36" i="3"/>
  <c r="Q36" i="3"/>
  <c r="R52" i="3"/>
  <c r="Q52" i="3"/>
  <c r="S52" i="3" s="1"/>
  <c r="Q81" i="3"/>
  <c r="P81" i="3"/>
  <c r="O81" i="3"/>
  <c r="P84" i="3"/>
  <c r="U84" i="3" s="1"/>
  <c r="S84" i="3"/>
  <c r="O84" i="3"/>
  <c r="R104" i="3"/>
  <c r="O104" i="3"/>
  <c r="S104" i="3"/>
  <c r="P104" i="3"/>
  <c r="O154" i="3"/>
  <c r="S154" i="3"/>
  <c r="R154" i="3"/>
  <c r="Q154" i="3"/>
  <c r="Q177" i="3"/>
  <c r="P177" i="3"/>
  <c r="Q185" i="3"/>
  <c r="S185" i="3"/>
  <c r="R185" i="3"/>
  <c r="P185" i="3"/>
  <c r="P244" i="3"/>
  <c r="Q244" i="3"/>
  <c r="S244" i="3"/>
  <c r="R262" i="3"/>
  <c r="S262" i="3"/>
  <c r="Q262" i="3"/>
  <c r="P262" i="3"/>
  <c r="U262" i="3" s="1"/>
  <c r="O281" i="3"/>
  <c r="R281" i="3"/>
  <c r="Q281" i="3"/>
  <c r="P281" i="3"/>
  <c r="Q322" i="3"/>
  <c r="O322" i="3"/>
  <c r="S322" i="3"/>
  <c r="R322" i="3"/>
  <c r="P322" i="3"/>
  <c r="Q363" i="3"/>
  <c r="S363" i="3"/>
  <c r="R363" i="3"/>
  <c r="P363" i="3"/>
  <c r="O363" i="3"/>
  <c r="Q7" i="3"/>
  <c r="O14" i="3"/>
  <c r="Q18" i="3"/>
  <c r="S30" i="3"/>
  <c r="R36" i="3"/>
  <c r="O52" i="3"/>
  <c r="P52" i="3" s="1"/>
  <c r="Q56" i="3"/>
  <c r="S56" i="3" s="1"/>
  <c r="O73" i="3"/>
  <c r="P73" i="3" s="1"/>
  <c r="R81" i="3"/>
  <c r="Q84" i="3"/>
  <c r="P154" i="3"/>
  <c r="R177" i="3"/>
  <c r="S229" i="3"/>
  <c r="P229" i="3"/>
  <c r="Q229" i="3"/>
  <c r="S281" i="3"/>
  <c r="Q293" i="3"/>
  <c r="O293" i="3"/>
  <c r="R293" i="3"/>
  <c r="Q310" i="3"/>
  <c r="S310" i="3"/>
  <c r="U324" i="3"/>
  <c r="T324" i="3"/>
  <c r="S438" i="3"/>
  <c r="Q438" i="3"/>
  <c r="O438" i="3"/>
  <c r="O8" i="3"/>
  <c r="K2" i="4" s="1"/>
  <c r="R14" i="3"/>
  <c r="O24" i="3"/>
  <c r="S36" i="3"/>
  <c r="O45" i="3"/>
  <c r="P45" i="3" s="1"/>
  <c r="S55" i="3"/>
  <c r="Q55" i="3"/>
  <c r="P55" i="3"/>
  <c r="O56" i="3"/>
  <c r="O61" i="3"/>
  <c r="R61" i="3"/>
  <c r="P61" i="3"/>
  <c r="Q64" i="3"/>
  <c r="S64" i="3" s="1"/>
  <c r="Q70" i="3"/>
  <c r="S70" i="3" s="1"/>
  <c r="Q73" i="3"/>
  <c r="S73" i="3" s="1"/>
  <c r="S81" i="3"/>
  <c r="R84" i="3"/>
  <c r="T106" i="3"/>
  <c r="U106" i="3"/>
  <c r="R113" i="3"/>
  <c r="Q113" i="3"/>
  <c r="P113" i="3"/>
  <c r="O135" i="3"/>
  <c r="S135" i="3"/>
  <c r="R135" i="3"/>
  <c r="P156" i="3"/>
  <c r="U156" i="3" s="1"/>
  <c r="R156" i="3"/>
  <c r="Q156" i="3"/>
  <c r="O159" i="3"/>
  <c r="P159" i="3"/>
  <c r="U159" i="3" s="1"/>
  <c r="R159" i="3"/>
  <c r="R168" i="3"/>
  <c r="S168" i="3"/>
  <c r="O168" i="3"/>
  <c r="U169" i="3"/>
  <c r="U170" i="3"/>
  <c r="P172" i="3"/>
  <c r="U172" i="3" s="1"/>
  <c r="S172" i="3"/>
  <c r="R172" i="3"/>
  <c r="Q172" i="3"/>
  <c r="O172" i="3"/>
  <c r="S177" i="3"/>
  <c r="R192" i="3"/>
  <c r="S192" i="3"/>
  <c r="O192" i="3"/>
  <c r="P192" i="3"/>
  <c r="R208" i="3"/>
  <c r="P208" i="3"/>
  <c r="S208" i="3"/>
  <c r="O208" i="3"/>
  <c r="R216" i="3"/>
  <c r="S216" i="3"/>
  <c r="O216" i="3"/>
  <c r="P216" i="3"/>
  <c r="Q241" i="3"/>
  <c r="O241" i="3"/>
  <c r="R241" i="3"/>
  <c r="P241" i="3"/>
  <c r="U241" i="3" s="1"/>
  <c r="P365" i="3"/>
  <c r="O365" i="3"/>
  <c r="Q365" i="3"/>
  <c r="R365" i="3"/>
  <c r="S382" i="3"/>
  <c r="O382" i="3"/>
  <c r="Q382" i="3"/>
  <c r="U469" i="3"/>
  <c r="Q6" i="3"/>
  <c r="R6" i="3"/>
  <c r="P7" i="3"/>
  <c r="Q8" i="3"/>
  <c r="S8" i="3" s="1"/>
  <c r="O13" i="3"/>
  <c r="P13" i="3" s="1"/>
  <c r="R13" i="3"/>
  <c r="S14" i="3"/>
  <c r="R15" i="3"/>
  <c r="S15" i="3" s="1"/>
  <c r="Q23" i="3"/>
  <c r="S23" i="3"/>
  <c r="T23" i="3" s="1"/>
  <c r="R23" i="3"/>
  <c r="Q24" i="3"/>
  <c r="Q26" i="3"/>
  <c r="S44" i="3"/>
  <c r="P44" i="3"/>
  <c r="R45" i="3"/>
  <c r="O55" i="3"/>
  <c r="O64" i="3"/>
  <c r="R73" i="3"/>
  <c r="S80" i="3"/>
  <c r="P80" i="3"/>
  <c r="O80" i="3"/>
  <c r="O113" i="3"/>
  <c r="O119" i="3"/>
  <c r="S119" i="3"/>
  <c r="R119" i="3"/>
  <c r="P119" i="3"/>
  <c r="S122" i="3"/>
  <c r="P122" i="3"/>
  <c r="R122" i="3"/>
  <c r="Q122" i="3"/>
  <c r="P135" i="3"/>
  <c r="Q153" i="3"/>
  <c r="R153" i="3"/>
  <c r="S153" i="3"/>
  <c r="O156" i="3"/>
  <c r="S159" i="3"/>
  <c r="P168" i="3"/>
  <c r="R176" i="3"/>
  <c r="S176" i="3"/>
  <c r="P176" i="3"/>
  <c r="S241" i="3"/>
  <c r="P302" i="3"/>
  <c r="U302" i="3" s="1"/>
  <c r="R302" i="3"/>
  <c r="S312" i="3"/>
  <c r="Q312" i="3"/>
  <c r="Q451" i="3"/>
  <c r="P451" i="3"/>
  <c r="O451" i="3"/>
  <c r="R451" i="3"/>
  <c r="S451" i="3"/>
  <c r="R7" i="3"/>
  <c r="G15" i="4" s="1"/>
  <c r="T28" i="3"/>
  <c r="U28" i="3"/>
  <c r="Q38" i="3"/>
  <c r="S38" i="3" s="1"/>
  <c r="R38" i="3"/>
  <c r="R55" i="3"/>
  <c r="R60" i="3"/>
  <c r="Q60" i="3"/>
  <c r="S60" i="3" s="1"/>
  <c r="P60" i="3"/>
  <c r="U77" i="3"/>
  <c r="T77" i="3"/>
  <c r="Q105" i="3"/>
  <c r="P105" i="3"/>
  <c r="S105" i="3"/>
  <c r="S113" i="3"/>
  <c r="R128" i="3"/>
  <c r="S128" i="3"/>
  <c r="P128" i="3"/>
  <c r="U153" i="3"/>
  <c r="T153" i="3"/>
  <c r="S165" i="3"/>
  <c r="P165" i="3"/>
  <c r="S189" i="3"/>
  <c r="P189" i="3"/>
  <c r="Q189" i="3"/>
  <c r="Q218" i="3"/>
  <c r="O218" i="3"/>
  <c r="P218" i="3"/>
  <c r="S218" i="3"/>
  <c r="R218" i="3"/>
  <c r="Q225" i="3"/>
  <c r="S225" i="3"/>
  <c r="P225" i="3"/>
  <c r="R225" i="3"/>
  <c r="S266" i="3"/>
  <c r="O266" i="3"/>
  <c r="R266" i="3"/>
  <c r="Q266" i="3"/>
  <c r="P266" i="3"/>
  <c r="U266" i="3" s="1"/>
  <c r="U292" i="3"/>
  <c r="T292" i="3"/>
  <c r="Q403" i="3"/>
  <c r="S403" i="3"/>
  <c r="R403" i="3"/>
  <c r="P403" i="3"/>
  <c r="O403" i="3"/>
  <c r="Q474" i="3"/>
  <c r="R474" i="3"/>
  <c r="P474" i="3"/>
  <c r="O12" i="3"/>
  <c r="R12" i="3"/>
  <c r="Q12" i="3"/>
  <c r="S12" i="3" s="1"/>
  <c r="U23" i="3"/>
  <c r="Q31" i="3"/>
  <c r="S31" i="3" s="1"/>
  <c r="P31" i="3"/>
  <c r="S98" i="3"/>
  <c r="P98" i="3"/>
  <c r="T98" i="3" s="1"/>
  <c r="S121" i="3"/>
  <c r="R121" i="3"/>
  <c r="O121" i="3"/>
  <c r="P132" i="3"/>
  <c r="U132" i="3" s="1"/>
  <c r="S132" i="3"/>
  <c r="R132" i="3"/>
  <c r="Q132" i="3"/>
  <c r="Q137" i="3"/>
  <c r="P137" i="3"/>
  <c r="T138" i="3"/>
  <c r="U138" i="3"/>
  <c r="S146" i="3"/>
  <c r="P146" i="3"/>
  <c r="O167" i="3"/>
  <c r="R167" i="3"/>
  <c r="S167" i="3"/>
  <c r="P186" i="3"/>
  <c r="R186" i="3"/>
  <c r="Q186" i="3"/>
  <c r="O186" i="3"/>
  <c r="P220" i="3"/>
  <c r="U220" i="3" s="1"/>
  <c r="R220" i="3"/>
  <c r="S220" i="3"/>
  <c r="Q220" i="3"/>
  <c r="O220" i="3"/>
  <c r="S277" i="3"/>
  <c r="O277" i="3"/>
  <c r="S282" i="3"/>
  <c r="R282" i="3"/>
  <c r="Q282" i="3"/>
  <c r="P282" i="3"/>
  <c r="O282" i="3"/>
  <c r="Q306" i="3"/>
  <c r="S306" i="3"/>
  <c r="R306" i="3"/>
  <c r="P306" i="3"/>
  <c r="T314" i="3"/>
  <c r="U314" i="3"/>
  <c r="S332" i="3"/>
  <c r="P332" i="3"/>
  <c r="R332" i="3"/>
  <c r="Q332" i="3"/>
  <c r="O332" i="3"/>
  <c r="S390" i="3"/>
  <c r="O390" i="3"/>
  <c r="Q390" i="3"/>
  <c r="Q2" i="3"/>
  <c r="S2" i="3" s="1"/>
  <c r="P12" i="3"/>
  <c r="O31" i="3"/>
  <c r="O79" i="3"/>
  <c r="R79" i="3"/>
  <c r="Q79" i="3"/>
  <c r="P79" i="3"/>
  <c r="Q97" i="3"/>
  <c r="R97" i="3"/>
  <c r="O98" i="3"/>
  <c r="R112" i="3"/>
  <c r="S112" i="3"/>
  <c r="P112" i="3"/>
  <c r="T112" i="3" s="1"/>
  <c r="O112" i="3"/>
  <c r="P121" i="3"/>
  <c r="O132" i="3"/>
  <c r="R137" i="3"/>
  <c r="O143" i="3"/>
  <c r="R143" i="3"/>
  <c r="O146" i="3"/>
  <c r="P167" i="3"/>
  <c r="U167" i="3" s="1"/>
  <c r="S173" i="3"/>
  <c r="Q173" i="3"/>
  <c r="Q178" i="3"/>
  <c r="S178" i="3"/>
  <c r="O178" i="3"/>
  <c r="S186" i="3"/>
  <c r="Q298" i="3"/>
  <c r="R298" i="3"/>
  <c r="P298" i="3"/>
  <c r="O298" i="3"/>
  <c r="S298" i="3"/>
  <c r="T346" i="3"/>
  <c r="U346" i="3"/>
  <c r="U364" i="3"/>
  <c r="T364" i="3"/>
  <c r="Q378" i="3"/>
  <c r="S378" i="3"/>
  <c r="R378" i="3"/>
  <c r="P378" i="3"/>
  <c r="O378" i="3"/>
  <c r="Q54" i="3"/>
  <c r="S54" i="3" s="1"/>
  <c r="R54" i="3"/>
  <c r="P62" i="3"/>
  <c r="P68" i="3"/>
  <c r="P69" i="3"/>
  <c r="P72" i="3"/>
  <c r="S74" i="3"/>
  <c r="T74" i="3" s="1"/>
  <c r="Q74" i="3"/>
  <c r="S106" i="3"/>
  <c r="O106" i="3"/>
  <c r="O127" i="3"/>
  <c r="R127" i="3"/>
  <c r="P164" i="3"/>
  <c r="U164" i="3" s="1"/>
  <c r="S164" i="3"/>
  <c r="S169" i="3"/>
  <c r="R170" i="3"/>
  <c r="O191" i="3"/>
  <c r="R191" i="3"/>
  <c r="S194" i="3"/>
  <c r="Q201" i="3"/>
  <c r="S201" i="3"/>
  <c r="Q209" i="3"/>
  <c r="S209" i="3"/>
  <c r="O210" i="3"/>
  <c r="R224" i="3"/>
  <c r="P224" i="3"/>
  <c r="P239" i="3"/>
  <c r="P240" i="3"/>
  <c r="O245" i="3"/>
  <c r="Q248" i="3"/>
  <c r="P248" i="3"/>
  <c r="P252" i="3"/>
  <c r="R252" i="3"/>
  <c r="P286" i="3"/>
  <c r="O292" i="3"/>
  <c r="R315" i="3"/>
  <c r="Q330" i="3"/>
  <c r="S330" i="3"/>
  <c r="R330" i="3"/>
  <c r="P330" i="3"/>
  <c r="S364" i="3"/>
  <c r="Q364" i="3"/>
  <c r="R364" i="3"/>
  <c r="S372" i="3"/>
  <c r="Q372" i="3"/>
  <c r="P372" i="3"/>
  <c r="U386" i="3"/>
  <c r="S388" i="3"/>
  <c r="Q388" i="3"/>
  <c r="R388" i="3"/>
  <c r="P388" i="3"/>
  <c r="Q395" i="3"/>
  <c r="P395" i="3"/>
  <c r="S395" i="3"/>
  <c r="P405" i="3"/>
  <c r="Q405" i="3"/>
  <c r="R405" i="3"/>
  <c r="S412" i="3"/>
  <c r="Q412" i="3"/>
  <c r="P412" i="3"/>
  <c r="O412" i="3"/>
  <c r="R418" i="3"/>
  <c r="P457" i="3"/>
  <c r="Q239" i="3"/>
  <c r="S240" i="3"/>
  <c r="O279" i="3"/>
  <c r="R279" i="3"/>
  <c r="Q279" i="3"/>
  <c r="P279" i="3"/>
  <c r="T279" i="3" s="1"/>
  <c r="Q286" i="3"/>
  <c r="Q291" i="3"/>
  <c r="S291" i="3"/>
  <c r="R291" i="3"/>
  <c r="S308" i="3"/>
  <c r="R308" i="3"/>
  <c r="T316" i="3"/>
  <c r="S324" i="3"/>
  <c r="R324" i="3"/>
  <c r="O324" i="3"/>
  <c r="S380" i="3"/>
  <c r="P380" i="3"/>
  <c r="R380" i="3"/>
  <c r="Q380" i="3"/>
  <c r="O380" i="3"/>
  <c r="S428" i="3"/>
  <c r="P428" i="3"/>
  <c r="R428" i="3"/>
  <c r="Q428" i="3"/>
  <c r="O428" i="3"/>
  <c r="T450" i="3"/>
  <c r="U450" i="3"/>
  <c r="Q499" i="3"/>
  <c r="R499" i="3"/>
  <c r="Q39" i="3"/>
  <c r="S39" i="3" s="1"/>
  <c r="Q40" i="3"/>
  <c r="R62" i="3"/>
  <c r="S62" i="3" s="1"/>
  <c r="Q63" i="3"/>
  <c r="S63" i="3" s="1"/>
  <c r="Q66" i="3"/>
  <c r="S66" i="3" s="1"/>
  <c r="R68" i="3"/>
  <c r="S68" i="3" s="1"/>
  <c r="T68" i="3" s="1"/>
  <c r="O71" i="3"/>
  <c r="R71" i="3"/>
  <c r="R74" i="3"/>
  <c r="S82" i="3"/>
  <c r="R82" i="3"/>
  <c r="Q89" i="3"/>
  <c r="O89" i="3"/>
  <c r="R106" i="3"/>
  <c r="S114" i="3"/>
  <c r="Q114" i="3"/>
  <c r="R116" i="3"/>
  <c r="S120" i="3"/>
  <c r="S136" i="3"/>
  <c r="Q138" i="3"/>
  <c r="R152" i="3"/>
  <c r="O152" i="3"/>
  <c r="Q161" i="3"/>
  <c r="S161" i="3"/>
  <c r="R164" i="3"/>
  <c r="O175" i="3"/>
  <c r="R175" i="3"/>
  <c r="Q196" i="3"/>
  <c r="Q197" i="3"/>
  <c r="O199" i="3"/>
  <c r="S199" i="3"/>
  <c r="P200" i="3"/>
  <c r="T201" i="3"/>
  <c r="T209" i="3"/>
  <c r="S213" i="3"/>
  <c r="Q213" i="3"/>
  <c r="Q221" i="3"/>
  <c r="O223" i="3"/>
  <c r="S223" i="3"/>
  <c r="P223" i="3"/>
  <c r="U223" i="3" s="1"/>
  <c r="P228" i="3"/>
  <c r="O231" i="3"/>
  <c r="P231" i="3"/>
  <c r="U231" i="3" s="1"/>
  <c r="S239" i="3"/>
  <c r="S252" i="3"/>
  <c r="O271" i="3"/>
  <c r="R271" i="3"/>
  <c r="P291" i="3"/>
  <c r="P307" i="3"/>
  <c r="P308" i="3"/>
  <c r="Q323" i="3"/>
  <c r="O323" i="3"/>
  <c r="S323" i="3"/>
  <c r="Q324" i="3"/>
  <c r="Q347" i="3"/>
  <c r="S347" i="3"/>
  <c r="Q354" i="3"/>
  <c r="S354" i="3"/>
  <c r="O354" i="3"/>
  <c r="R371" i="3"/>
  <c r="P371" i="3"/>
  <c r="S371" i="3"/>
  <c r="Q371" i="3"/>
  <c r="R379" i="3"/>
  <c r="S379" i="3"/>
  <c r="Q379" i="3"/>
  <c r="P379" i="3"/>
  <c r="Q394" i="3"/>
  <c r="P394" i="3"/>
  <c r="S394" i="3"/>
  <c r="R394" i="3"/>
  <c r="S404" i="3"/>
  <c r="Q404" i="3"/>
  <c r="R404" i="3"/>
  <c r="P404" i="3"/>
  <c r="S417" i="3"/>
  <c r="P417" i="3"/>
  <c r="O476" i="3"/>
  <c r="S476" i="3"/>
  <c r="R476" i="3"/>
  <c r="Q476" i="3"/>
  <c r="R490" i="3"/>
  <c r="P490" i="3"/>
  <c r="S495" i="3"/>
  <c r="Q495" i="3"/>
  <c r="S499" i="3"/>
  <c r="O20" i="3"/>
  <c r="P20" i="3"/>
  <c r="O32" i="3"/>
  <c r="O39" i="3"/>
  <c r="P39" i="3" s="1"/>
  <c r="O40" i="3"/>
  <c r="S47" i="3"/>
  <c r="R63" i="3"/>
  <c r="O66" i="3"/>
  <c r="P71" i="3"/>
  <c r="O82" i="3"/>
  <c r="P108" i="3"/>
  <c r="U108" i="3" s="1"/>
  <c r="S108" i="3"/>
  <c r="P111" i="3"/>
  <c r="O114" i="3"/>
  <c r="S116" i="3"/>
  <c r="R138" i="3"/>
  <c r="P152" i="3"/>
  <c r="T152" i="3" s="1"/>
  <c r="P161" i="3"/>
  <c r="O162" i="3"/>
  <c r="P175" i="3"/>
  <c r="U175" i="3" s="1"/>
  <c r="P180" i="3"/>
  <c r="S180" i="3"/>
  <c r="R184" i="3"/>
  <c r="P184" i="3"/>
  <c r="R196" i="3"/>
  <c r="P199" i="3"/>
  <c r="U199" i="3" s="1"/>
  <c r="S200" i="3"/>
  <c r="P204" i="3"/>
  <c r="U204" i="3" s="1"/>
  <c r="R204" i="3"/>
  <c r="P205" i="3"/>
  <c r="P212" i="3"/>
  <c r="R212" i="3"/>
  <c r="P213" i="3"/>
  <c r="R223" i="3"/>
  <c r="Q228" i="3"/>
  <c r="R231" i="3"/>
  <c r="Q265" i="3"/>
  <c r="S265" i="3"/>
  <c r="R265" i="3"/>
  <c r="P265" i="3"/>
  <c r="P271" i="3"/>
  <c r="R307" i="3"/>
  <c r="Q308" i="3"/>
  <c r="P323" i="3"/>
  <c r="Q346" i="3"/>
  <c r="S346" i="3"/>
  <c r="O347" i="3"/>
  <c r="P354" i="3"/>
  <c r="Q360" i="3"/>
  <c r="S366" i="3"/>
  <c r="O366" i="3"/>
  <c r="O371" i="3"/>
  <c r="O379" i="3"/>
  <c r="O394" i="3"/>
  <c r="O404" i="3"/>
  <c r="O469" i="3"/>
  <c r="O472" i="3"/>
  <c r="P476" i="3"/>
  <c r="O495" i="3"/>
  <c r="O47" i="3"/>
  <c r="P47" i="3" s="1"/>
  <c r="P66" i="3"/>
  <c r="U76" i="3"/>
  <c r="T76" i="3"/>
  <c r="P82" i="3"/>
  <c r="O87" i="3"/>
  <c r="P87" i="3"/>
  <c r="P88" i="3"/>
  <c r="R89" i="3"/>
  <c r="O90" i="3"/>
  <c r="R95" i="3"/>
  <c r="O108" i="3"/>
  <c r="R111" i="3"/>
  <c r="P114" i="3"/>
  <c r="Q129" i="3"/>
  <c r="S129" i="3"/>
  <c r="S130" i="3"/>
  <c r="P130" i="3"/>
  <c r="P140" i="3"/>
  <c r="U140" i="3" s="1"/>
  <c r="O140" i="3"/>
  <c r="S152" i="3"/>
  <c r="R160" i="3"/>
  <c r="P160" i="3"/>
  <c r="R161" i="3"/>
  <c r="Q162" i="3"/>
  <c r="S175" i="3"/>
  <c r="O180" i="3"/>
  <c r="P181" i="3"/>
  <c r="O184" i="3"/>
  <c r="P193" i="3"/>
  <c r="O194" i="3"/>
  <c r="S196" i="3"/>
  <c r="R199" i="3"/>
  <c r="O204" i="3"/>
  <c r="Q205" i="3"/>
  <c r="O207" i="3"/>
  <c r="S207" i="3"/>
  <c r="P207" i="3"/>
  <c r="U207" i="3" s="1"/>
  <c r="O212" i="3"/>
  <c r="R226" i="3"/>
  <c r="P226" i="3"/>
  <c r="S228" i="3"/>
  <c r="S231" i="3"/>
  <c r="S246" i="3"/>
  <c r="Q246" i="3"/>
  <c r="Q249" i="3"/>
  <c r="O249" i="3"/>
  <c r="O265" i="3"/>
  <c r="R270" i="3"/>
  <c r="Q270" i="3"/>
  <c r="Q271" i="3"/>
  <c r="R273" i="3"/>
  <c r="Q273" i="3"/>
  <c r="P273" i="3"/>
  <c r="T303" i="3"/>
  <c r="S307" i="3"/>
  <c r="S316" i="3"/>
  <c r="R316" i="3"/>
  <c r="P317" i="3"/>
  <c r="Q317" i="3"/>
  <c r="R323" i="3"/>
  <c r="Q331" i="3"/>
  <c r="R331" i="3"/>
  <c r="S331" i="3"/>
  <c r="P331" i="3"/>
  <c r="O346" i="3"/>
  <c r="P347" i="3"/>
  <c r="Q362" i="3"/>
  <c r="S362" i="3"/>
  <c r="R362" i="3"/>
  <c r="P362" i="3"/>
  <c r="T362" i="3" s="1"/>
  <c r="P389" i="3"/>
  <c r="O389" i="3"/>
  <c r="R389" i="3"/>
  <c r="P397" i="3"/>
  <c r="U397" i="3" s="1"/>
  <c r="O397" i="3"/>
  <c r="P421" i="3"/>
  <c r="R421" i="3"/>
  <c r="Q421" i="3"/>
  <c r="T458" i="3"/>
  <c r="U458" i="3"/>
  <c r="L9" i="4"/>
  <c r="P188" i="3"/>
  <c r="U188" i="3" s="1"/>
  <c r="S188" i="3"/>
  <c r="R202" i="3"/>
  <c r="P202" i="3"/>
  <c r="R210" i="3"/>
  <c r="P210" i="3"/>
  <c r="Q217" i="3"/>
  <c r="R217" i="3"/>
  <c r="Q233" i="3"/>
  <c r="S233" i="3"/>
  <c r="P233" i="3"/>
  <c r="R245" i="3"/>
  <c r="P245" i="3"/>
  <c r="Q245" i="3"/>
  <c r="R253" i="3"/>
  <c r="Q253" i="3"/>
  <c r="P260" i="3"/>
  <c r="Q260" i="3"/>
  <c r="S292" i="3"/>
  <c r="R292" i="3"/>
  <c r="T315" i="3"/>
  <c r="U315" i="3"/>
  <c r="Q326" i="3"/>
  <c r="O326" i="3"/>
  <c r="Q370" i="3"/>
  <c r="P370" i="3"/>
  <c r="S370" i="3"/>
  <c r="R370" i="3"/>
  <c r="O370" i="3"/>
  <c r="S408" i="3"/>
  <c r="Q408" i="3"/>
  <c r="Q418" i="3"/>
  <c r="O418" i="3"/>
  <c r="P418" i="3"/>
  <c r="U420" i="3"/>
  <c r="T420" i="3"/>
  <c r="T426" i="3"/>
  <c r="U426" i="3"/>
  <c r="P445" i="3"/>
  <c r="R445" i="3"/>
  <c r="P471" i="3"/>
  <c r="R471" i="3"/>
  <c r="S471" i="3"/>
  <c r="O471" i="3"/>
  <c r="U485" i="3"/>
  <c r="T485" i="3"/>
  <c r="Q491" i="3"/>
  <c r="R491" i="3"/>
  <c r="S491" i="3"/>
  <c r="P494" i="3"/>
  <c r="Q494" i="3"/>
  <c r="R494" i="3"/>
  <c r="S345" i="3"/>
  <c r="P345" i="3"/>
  <c r="Q387" i="3"/>
  <c r="R387" i="3"/>
  <c r="S387" i="3"/>
  <c r="T402" i="3"/>
  <c r="U402" i="3"/>
  <c r="Q427" i="3"/>
  <c r="P427" i="3"/>
  <c r="T427" i="3" s="1"/>
  <c r="S436" i="3"/>
  <c r="O436" i="3"/>
  <c r="U477" i="3"/>
  <c r="T477" i="3"/>
  <c r="Q483" i="3"/>
  <c r="O483" i="3"/>
  <c r="S493" i="3"/>
  <c r="P493" i="3"/>
  <c r="S501" i="3"/>
  <c r="Q501" i="3"/>
  <c r="P501" i="3"/>
  <c r="Q290" i="3"/>
  <c r="R290" i="3"/>
  <c r="O299" i="3"/>
  <c r="S300" i="3"/>
  <c r="R300" i="3"/>
  <c r="P304" i="3"/>
  <c r="P321" i="3"/>
  <c r="Q336" i="3"/>
  <c r="S350" i="3"/>
  <c r="O350" i="3"/>
  <c r="Q386" i="3"/>
  <c r="S386" i="3"/>
  <c r="R386" i="3"/>
  <c r="O387" i="3"/>
  <c r="O427" i="3"/>
  <c r="Q435" i="3"/>
  <c r="O435" i="3"/>
  <c r="P436" i="3"/>
  <c r="S454" i="3"/>
  <c r="O454" i="3"/>
  <c r="R460" i="3"/>
  <c r="O460" i="3"/>
  <c r="O475" i="3"/>
  <c r="R483" i="3"/>
  <c r="P488" i="3"/>
  <c r="U488" i="3" s="1"/>
  <c r="Q492" i="3"/>
  <c r="S492" i="3"/>
  <c r="O493" i="3"/>
  <c r="O501" i="3"/>
  <c r="R215" i="3"/>
  <c r="P232" i="3"/>
  <c r="P234" i="3"/>
  <c r="U234" i="3" s="1"/>
  <c r="O247" i="3"/>
  <c r="S247" i="3"/>
  <c r="P250" i="3"/>
  <c r="Q257" i="3"/>
  <c r="P257" i="3"/>
  <c r="S258" i="3"/>
  <c r="O258" i="3"/>
  <c r="R264" i="3"/>
  <c r="P274" i="3"/>
  <c r="Q278" i="3"/>
  <c r="Q297" i="3"/>
  <c r="P299" i="3"/>
  <c r="O300" i="3"/>
  <c r="R303" i="3"/>
  <c r="Q303" i="3"/>
  <c r="Q304" i="3"/>
  <c r="P329" i="3"/>
  <c r="S348" i="3"/>
  <c r="P348" i="3"/>
  <c r="Q350" i="3"/>
  <c r="S356" i="3"/>
  <c r="P356" i="3"/>
  <c r="O356" i="3"/>
  <c r="S374" i="3"/>
  <c r="Q374" i="3"/>
  <c r="O386" i="3"/>
  <c r="P387" i="3"/>
  <c r="T387" i="3" s="1"/>
  <c r="S398" i="3"/>
  <c r="Q398" i="3"/>
  <c r="O413" i="3"/>
  <c r="O414" i="3"/>
  <c r="Q426" i="3"/>
  <c r="R426" i="3"/>
  <c r="R427" i="3"/>
  <c r="Q434" i="3"/>
  <c r="P434" i="3"/>
  <c r="P435" i="3"/>
  <c r="Q436" i="3"/>
  <c r="S452" i="3"/>
  <c r="P452" i="3"/>
  <c r="Q452" i="3"/>
  <c r="Q454" i="3"/>
  <c r="P460" i="3"/>
  <c r="P461" i="3"/>
  <c r="O461" i="3"/>
  <c r="S475" i="3"/>
  <c r="S483" i="3"/>
  <c r="O492" i="3"/>
  <c r="Q493" i="3"/>
  <c r="Q500" i="3"/>
  <c r="R500" i="3"/>
  <c r="O500" i="3"/>
  <c r="P325" i="3"/>
  <c r="Q325" i="3"/>
  <c r="Q338" i="3"/>
  <c r="S338" i="3"/>
  <c r="Q339" i="3"/>
  <c r="R339" i="3"/>
  <c r="S340" i="3"/>
  <c r="P340" i="3"/>
  <c r="P437" i="3"/>
  <c r="R437" i="3"/>
  <c r="Q450" i="3"/>
  <c r="R450" i="3"/>
  <c r="Q459" i="3"/>
  <c r="S459" i="3"/>
  <c r="S462" i="3"/>
  <c r="O462" i="3"/>
  <c r="S485" i="3"/>
  <c r="O485" i="3"/>
  <c r="C16" i="4"/>
  <c r="G17" i="4"/>
  <c r="C10" i="4"/>
  <c r="B14" i="6"/>
  <c r="B13" i="6"/>
  <c r="B16" i="6"/>
  <c r="F6" i="6"/>
  <c r="F7" i="7"/>
  <c r="G13" i="6"/>
  <c r="G6" i="6"/>
  <c r="B21" i="7"/>
  <c r="F17" i="7"/>
  <c r="B20" i="7"/>
  <c r="C15" i="4"/>
  <c r="J10" i="6"/>
  <c r="K10" i="6" s="1"/>
  <c r="K13" i="4"/>
  <c r="C8" i="4"/>
  <c r="G12" i="6"/>
  <c r="G14" i="6"/>
  <c r="H14" i="6" s="1"/>
  <c r="B10" i="6"/>
  <c r="G19" i="6"/>
  <c r="H13" i="6"/>
  <c r="I6" i="6"/>
  <c r="K6" i="6" s="1"/>
  <c r="B9" i="7"/>
  <c r="F15" i="7"/>
  <c r="G17" i="7"/>
  <c r="B14" i="7"/>
  <c r="F19" i="7"/>
  <c r="F21" i="7"/>
  <c r="G21" i="7"/>
  <c r="B17" i="7"/>
  <c r="G20" i="7"/>
  <c r="J14" i="6"/>
  <c r="B7" i="6"/>
  <c r="E7" i="6" s="1"/>
  <c r="B7" i="7"/>
  <c r="C5" i="4"/>
  <c r="J16" i="6"/>
  <c r="G20" i="6"/>
  <c r="H20" i="6" s="1"/>
  <c r="B6" i="6"/>
  <c r="C13" i="4"/>
  <c r="C17" i="4"/>
  <c r="B12" i="6"/>
  <c r="J7" i="6"/>
  <c r="K7" i="6" s="1"/>
  <c r="F10" i="6"/>
  <c r="H10" i="6" s="1"/>
  <c r="B19" i="6"/>
  <c r="G8" i="6"/>
  <c r="J20" i="6"/>
  <c r="F21" i="6"/>
  <c r="F18" i="7"/>
  <c r="F9" i="7"/>
  <c r="B15" i="7"/>
  <c r="B10" i="7"/>
  <c r="F14" i="7"/>
  <c r="U69" i="3"/>
  <c r="T255" i="3"/>
  <c r="U255" i="3"/>
  <c r="S83" i="3"/>
  <c r="Q83" i="3"/>
  <c r="P83" i="3"/>
  <c r="U119" i="3"/>
  <c r="T119" i="3"/>
  <c r="U181" i="3"/>
  <c r="T181" i="3"/>
  <c r="U213" i="3"/>
  <c r="T213" i="3"/>
  <c r="U269" i="3"/>
  <c r="T269" i="3"/>
  <c r="U287" i="3"/>
  <c r="T287" i="3"/>
  <c r="R393" i="3"/>
  <c r="Q393" i="3"/>
  <c r="O393" i="3"/>
  <c r="S393" i="3"/>
  <c r="P393" i="3"/>
  <c r="S455" i="3"/>
  <c r="R455" i="3"/>
  <c r="P455" i="3"/>
  <c r="O455" i="3"/>
  <c r="R2" i="3"/>
  <c r="F12" i="5" s="1"/>
  <c r="O3" i="3"/>
  <c r="K6" i="4" s="1"/>
  <c r="Q5" i="3"/>
  <c r="P8" i="3"/>
  <c r="R10" i="3"/>
  <c r="S10" i="3" s="1"/>
  <c r="O11" i="3"/>
  <c r="K12" i="4" s="1"/>
  <c r="Q13" i="3"/>
  <c r="P16" i="3"/>
  <c r="R18" i="3"/>
  <c r="G9" i="5" s="1"/>
  <c r="O19" i="3"/>
  <c r="K11" i="4" s="1"/>
  <c r="Q21" i="3"/>
  <c r="S21" i="3" s="1"/>
  <c r="P24" i="3"/>
  <c r="R26" i="3"/>
  <c r="S26" i="3" s="1"/>
  <c r="O27" i="3"/>
  <c r="P27" i="3" s="1"/>
  <c r="Q29" i="3"/>
  <c r="P32" i="3"/>
  <c r="R34" i="3"/>
  <c r="S34" i="3" s="1"/>
  <c r="O35" i="3"/>
  <c r="P35" i="3" s="1"/>
  <c r="Q37" i="3"/>
  <c r="P40" i="3"/>
  <c r="R42" i="3"/>
  <c r="S42" i="3" s="1"/>
  <c r="O43" i="3"/>
  <c r="P43" i="3" s="1"/>
  <c r="Q45" i="3"/>
  <c r="P48" i="3"/>
  <c r="R50" i="3"/>
  <c r="O51" i="3"/>
  <c r="Q53" i="3"/>
  <c r="S53" i="3" s="1"/>
  <c r="P56" i="3"/>
  <c r="R58" i="3"/>
  <c r="S58" i="3" s="1"/>
  <c r="O59" i="3"/>
  <c r="Q61" i="3"/>
  <c r="P64" i="3"/>
  <c r="Q71" i="3"/>
  <c r="F12" i="4" s="1"/>
  <c r="B12" i="8" s="1"/>
  <c r="O83" i="3"/>
  <c r="S85" i="3"/>
  <c r="R85" i="3"/>
  <c r="R86" i="3"/>
  <c r="P86" i="3"/>
  <c r="O86" i="3"/>
  <c r="R88" i="3"/>
  <c r="Q88" i="3"/>
  <c r="T92" i="3"/>
  <c r="S95" i="3"/>
  <c r="T108" i="3"/>
  <c r="R118" i="3"/>
  <c r="Q118" i="3"/>
  <c r="P118" i="3"/>
  <c r="O118" i="3"/>
  <c r="S125" i="3"/>
  <c r="R125" i="3"/>
  <c r="O125" i="3"/>
  <c r="T132" i="3"/>
  <c r="S141" i="3"/>
  <c r="R141" i="3"/>
  <c r="O141" i="3"/>
  <c r="T148" i="3"/>
  <c r="R166" i="3"/>
  <c r="Q166" i="3"/>
  <c r="P166" i="3"/>
  <c r="O166" i="3"/>
  <c r="S166" i="3"/>
  <c r="T172" i="3"/>
  <c r="T176" i="3"/>
  <c r="U176" i="3"/>
  <c r="S179" i="3"/>
  <c r="R179" i="3"/>
  <c r="Q179" i="3"/>
  <c r="P179" i="3"/>
  <c r="R198" i="3"/>
  <c r="Q198" i="3"/>
  <c r="P198" i="3"/>
  <c r="O198" i="3"/>
  <c r="S198" i="3"/>
  <c r="T204" i="3"/>
  <c r="T208" i="3"/>
  <c r="U208" i="3"/>
  <c r="S211" i="3"/>
  <c r="R211" i="3"/>
  <c r="Q211" i="3"/>
  <c r="P211" i="3"/>
  <c r="T232" i="3"/>
  <c r="U232" i="3"/>
  <c r="P268" i="3"/>
  <c r="O268" i="3"/>
  <c r="S268" i="3"/>
  <c r="R268" i="3"/>
  <c r="U286" i="3"/>
  <c r="T286" i="3"/>
  <c r="U381" i="3"/>
  <c r="T381" i="3"/>
  <c r="Q455" i="3"/>
  <c r="P51" i="3"/>
  <c r="U87" i="3"/>
  <c r="T87" i="3"/>
  <c r="S123" i="3"/>
  <c r="R123" i="3"/>
  <c r="Q123" i="3"/>
  <c r="P123" i="3"/>
  <c r="U141" i="3"/>
  <c r="T141" i="3"/>
  <c r="U189" i="3"/>
  <c r="T189" i="3"/>
  <c r="Q3" i="3"/>
  <c r="F8" i="4" s="1"/>
  <c r="S5" i="3"/>
  <c r="U5" i="3" s="1"/>
  <c r="P6" i="3"/>
  <c r="R8" i="3"/>
  <c r="O9" i="3"/>
  <c r="P9" i="3" s="1"/>
  <c r="Q11" i="3"/>
  <c r="F6" i="4" s="1"/>
  <c r="S13" i="3"/>
  <c r="P14" i="3"/>
  <c r="R16" i="3"/>
  <c r="F15" i="4" s="1"/>
  <c r="H15" i="4" s="1"/>
  <c r="O17" i="3"/>
  <c r="K3" i="4" s="1"/>
  <c r="Q19" i="3"/>
  <c r="S19" i="3" s="1"/>
  <c r="P22" i="3"/>
  <c r="R24" i="3"/>
  <c r="S24" i="3" s="1"/>
  <c r="O25" i="3"/>
  <c r="Q27" i="3"/>
  <c r="S27" i="3" s="1"/>
  <c r="S29" i="3"/>
  <c r="U29" i="3" s="1"/>
  <c r="P30" i="3"/>
  <c r="R32" i="3"/>
  <c r="S32" i="3" s="1"/>
  <c r="O33" i="3"/>
  <c r="P33" i="3" s="1"/>
  <c r="Q35" i="3"/>
  <c r="S35" i="3" s="1"/>
  <c r="S37" i="3"/>
  <c r="T37" i="3" s="1"/>
  <c r="P38" i="3"/>
  <c r="R40" i="3"/>
  <c r="S40" i="3" s="1"/>
  <c r="O41" i="3"/>
  <c r="L11" i="4" s="1"/>
  <c r="Q43" i="3"/>
  <c r="S43" i="3" s="1"/>
  <c r="S45" i="3"/>
  <c r="P46" i="3"/>
  <c r="R48" i="3"/>
  <c r="S48" i="3" s="1"/>
  <c r="O49" i="3"/>
  <c r="L16" i="4" s="1"/>
  <c r="Q51" i="3"/>
  <c r="S51" i="3" s="1"/>
  <c r="P54" i="3"/>
  <c r="R56" i="3"/>
  <c r="O57" i="3"/>
  <c r="Q59" i="3"/>
  <c r="S59" i="3" s="1"/>
  <c r="S61" i="3"/>
  <c r="T61" i="3" s="1"/>
  <c r="R64" i="3"/>
  <c r="O65" i="3"/>
  <c r="S71" i="3"/>
  <c r="U71" i="3" s="1"/>
  <c r="S75" i="3"/>
  <c r="Q75" i="3"/>
  <c r="P75" i="3"/>
  <c r="U98" i="3"/>
  <c r="T100" i="3"/>
  <c r="R110" i="3"/>
  <c r="Q110" i="3"/>
  <c r="P110" i="3"/>
  <c r="O110" i="3"/>
  <c r="S117" i="3"/>
  <c r="R117" i="3"/>
  <c r="O117" i="3"/>
  <c r="O123" i="3"/>
  <c r="R134" i="3"/>
  <c r="Q134" i="3"/>
  <c r="P134" i="3"/>
  <c r="O134" i="3"/>
  <c r="R150" i="3"/>
  <c r="Q150" i="3"/>
  <c r="P150" i="3"/>
  <c r="O150" i="3"/>
  <c r="S155" i="3"/>
  <c r="R155" i="3"/>
  <c r="Q155" i="3"/>
  <c r="P155" i="3"/>
  <c r="R174" i="3"/>
  <c r="Q174" i="3"/>
  <c r="P174" i="3"/>
  <c r="O174" i="3"/>
  <c r="S174" i="3"/>
  <c r="T184" i="3"/>
  <c r="U184" i="3"/>
  <c r="S187" i="3"/>
  <c r="R187" i="3"/>
  <c r="Q187" i="3"/>
  <c r="P187" i="3"/>
  <c r="R206" i="3"/>
  <c r="Q206" i="3"/>
  <c r="P206" i="3"/>
  <c r="O206" i="3"/>
  <c r="S206" i="3"/>
  <c r="T216" i="3"/>
  <c r="U216" i="3"/>
  <c r="S219" i="3"/>
  <c r="R219" i="3"/>
  <c r="Q219" i="3"/>
  <c r="P219" i="3"/>
  <c r="R230" i="3"/>
  <c r="Q230" i="3"/>
  <c r="P230" i="3"/>
  <c r="O230" i="3"/>
  <c r="S230" i="3"/>
  <c r="S243" i="3"/>
  <c r="P243" i="3"/>
  <c r="R243" i="3"/>
  <c r="Q243" i="3"/>
  <c r="O243" i="3"/>
  <c r="B37" i="5"/>
  <c r="G35" i="4"/>
  <c r="F35" i="4"/>
  <c r="M35" i="4"/>
  <c r="E35" i="4"/>
  <c r="L35" i="4"/>
  <c r="D35" i="4"/>
  <c r="K35" i="4"/>
  <c r="C35" i="4"/>
  <c r="I35" i="4"/>
  <c r="A35" i="4"/>
  <c r="H35" i="4"/>
  <c r="J35" i="4"/>
  <c r="P59" i="3"/>
  <c r="U120" i="3"/>
  <c r="U125" i="3"/>
  <c r="T125" i="3"/>
  <c r="S139" i="3"/>
  <c r="R139" i="3"/>
  <c r="Q139" i="3"/>
  <c r="P139" i="3"/>
  <c r="U151" i="3"/>
  <c r="T151" i="3"/>
  <c r="U261" i="3"/>
  <c r="T261" i="3"/>
  <c r="R3" i="3"/>
  <c r="T5" i="3"/>
  <c r="R11" i="3"/>
  <c r="G5" i="4" s="1"/>
  <c r="T13" i="3"/>
  <c r="P17" i="3"/>
  <c r="R19" i="3"/>
  <c r="P25" i="3"/>
  <c r="R27" i="3"/>
  <c r="G16" i="5" s="1"/>
  <c r="R35" i="3"/>
  <c r="R43" i="3"/>
  <c r="P49" i="3"/>
  <c r="R51" i="3"/>
  <c r="P57" i="3"/>
  <c r="R59" i="3"/>
  <c r="G15" i="5" s="1"/>
  <c r="P65" i="3"/>
  <c r="O75" i="3"/>
  <c r="S77" i="3"/>
  <c r="R77" i="3"/>
  <c r="R78" i="3"/>
  <c r="P78" i="3"/>
  <c r="O78" i="3"/>
  <c r="R80" i="3"/>
  <c r="Q80" i="3"/>
  <c r="S91" i="3"/>
  <c r="Q91" i="3"/>
  <c r="P91" i="3"/>
  <c r="S110" i="3"/>
  <c r="U112" i="3"/>
  <c r="S115" i="3"/>
  <c r="R115" i="3"/>
  <c r="Q115" i="3"/>
  <c r="P115" i="3"/>
  <c r="P117" i="3"/>
  <c r="S134" i="3"/>
  <c r="U136" i="3"/>
  <c r="S150" i="3"/>
  <c r="U152" i="3"/>
  <c r="O155" i="3"/>
  <c r="U165" i="3"/>
  <c r="T165" i="3"/>
  <c r="O187" i="3"/>
  <c r="U197" i="3"/>
  <c r="T197" i="3"/>
  <c r="O219" i="3"/>
  <c r="T271" i="3"/>
  <c r="U271" i="3"/>
  <c r="U274" i="3"/>
  <c r="T274" i="3"/>
  <c r="R285" i="3"/>
  <c r="Q285" i="3"/>
  <c r="P285" i="3"/>
  <c r="S285" i="3"/>
  <c r="O285" i="3"/>
  <c r="R83" i="3"/>
  <c r="U111" i="3"/>
  <c r="T111" i="3"/>
  <c r="U157" i="3"/>
  <c r="T157" i="3"/>
  <c r="O255" i="3"/>
  <c r="S255" i="3"/>
  <c r="R255" i="3"/>
  <c r="Q255" i="3"/>
  <c r="Q9" i="3"/>
  <c r="F8" i="5" s="1"/>
  <c r="Q17" i="3"/>
  <c r="S17" i="3" s="1"/>
  <c r="Q25" i="3"/>
  <c r="S25" i="3" s="1"/>
  <c r="Q33" i="3"/>
  <c r="G7" i="4" s="1"/>
  <c r="Q41" i="3"/>
  <c r="S41" i="3" s="1"/>
  <c r="Q49" i="3"/>
  <c r="S49" i="3" s="1"/>
  <c r="Q57" i="3"/>
  <c r="S57" i="3" s="1"/>
  <c r="Q65" i="3"/>
  <c r="F3" i="4" s="1"/>
  <c r="U79" i="3"/>
  <c r="T79" i="3"/>
  <c r="T84" i="3"/>
  <c r="S93" i="3"/>
  <c r="R93" i="3"/>
  <c r="R94" i="3"/>
  <c r="P94" i="3"/>
  <c r="O94" i="3"/>
  <c r="R96" i="3"/>
  <c r="Q96" i="3"/>
  <c r="O103" i="3"/>
  <c r="Q103" i="3"/>
  <c r="S109" i="3"/>
  <c r="R109" i="3"/>
  <c r="O109" i="3"/>
  <c r="T124" i="3"/>
  <c r="S133" i="3"/>
  <c r="R133" i="3"/>
  <c r="O133" i="3"/>
  <c r="T140" i="3"/>
  <c r="S149" i="3"/>
  <c r="R149" i="3"/>
  <c r="O149" i="3"/>
  <c r="T156" i="3"/>
  <c r="T160" i="3"/>
  <c r="U160" i="3"/>
  <c r="S163" i="3"/>
  <c r="R163" i="3"/>
  <c r="Q163" i="3"/>
  <c r="P163" i="3"/>
  <c r="R182" i="3"/>
  <c r="Q182" i="3"/>
  <c r="P182" i="3"/>
  <c r="O182" i="3"/>
  <c r="S182" i="3"/>
  <c r="T188" i="3"/>
  <c r="T192" i="3"/>
  <c r="U192" i="3"/>
  <c r="S195" i="3"/>
  <c r="R195" i="3"/>
  <c r="Q195" i="3"/>
  <c r="P195" i="3"/>
  <c r="R214" i="3"/>
  <c r="Q214" i="3"/>
  <c r="P214" i="3"/>
  <c r="O214" i="3"/>
  <c r="S214" i="3"/>
  <c r="T220" i="3"/>
  <c r="T224" i="3"/>
  <c r="U224" i="3"/>
  <c r="S227" i="3"/>
  <c r="R227" i="3"/>
  <c r="Q227" i="3"/>
  <c r="P227" i="3"/>
  <c r="P236" i="3"/>
  <c r="S236" i="3"/>
  <c r="R236" i="3"/>
  <c r="Q236" i="3"/>
  <c r="U242" i="3"/>
  <c r="T242" i="3"/>
  <c r="U254" i="3"/>
  <c r="T254" i="3"/>
  <c r="S267" i="3"/>
  <c r="R267" i="3"/>
  <c r="P267" i="3"/>
  <c r="O267" i="3"/>
  <c r="Q267" i="3"/>
  <c r="P294" i="3"/>
  <c r="S294" i="3"/>
  <c r="R294" i="3"/>
  <c r="Q294" i="3"/>
  <c r="O294" i="3"/>
  <c r="T101" i="3"/>
  <c r="R237" i="3"/>
  <c r="S237" i="3"/>
  <c r="Q237" i="3"/>
  <c r="P237" i="3"/>
  <c r="O237" i="3"/>
  <c r="O2" i="3"/>
  <c r="P2" i="3" s="1"/>
  <c r="R9" i="3"/>
  <c r="G2" i="4" s="1"/>
  <c r="O10" i="3"/>
  <c r="P10" i="3" s="1"/>
  <c r="R17" i="3"/>
  <c r="O18" i="3"/>
  <c r="P18" i="3" s="1"/>
  <c r="R25" i="3"/>
  <c r="O26" i="3"/>
  <c r="P26" i="3" s="1"/>
  <c r="R33" i="3"/>
  <c r="O34" i="3"/>
  <c r="K17" i="4" s="1"/>
  <c r="R41" i="3"/>
  <c r="G18" i="5" s="1"/>
  <c r="O42" i="3"/>
  <c r="P42" i="3" s="1"/>
  <c r="R49" i="3"/>
  <c r="G12" i="5" s="1"/>
  <c r="O50" i="3"/>
  <c r="P50" i="3" s="1"/>
  <c r="R57" i="3"/>
  <c r="O58" i="3"/>
  <c r="P58" i="3" s="1"/>
  <c r="R65" i="3"/>
  <c r="Q67" i="3"/>
  <c r="S67" i="3" s="1"/>
  <c r="O93" i="3"/>
  <c r="Q94" i="3"/>
  <c r="P95" i="3"/>
  <c r="O96" i="3"/>
  <c r="R102" i="3"/>
  <c r="P102" i="3"/>
  <c r="O102" i="3"/>
  <c r="P103" i="3"/>
  <c r="S107" i="3"/>
  <c r="R107" i="3"/>
  <c r="Q107" i="3"/>
  <c r="P107" i="3"/>
  <c r="P109" i="3"/>
  <c r="U127" i="3"/>
  <c r="T127" i="3"/>
  <c r="S131" i="3"/>
  <c r="R131" i="3"/>
  <c r="Q131" i="3"/>
  <c r="P131" i="3"/>
  <c r="P133" i="3"/>
  <c r="U143" i="3"/>
  <c r="T143" i="3"/>
  <c r="S147" i="3"/>
  <c r="R147" i="3"/>
  <c r="Q147" i="3"/>
  <c r="P147" i="3"/>
  <c r="P149" i="3"/>
  <c r="O163" i="3"/>
  <c r="U173" i="3"/>
  <c r="T173" i="3"/>
  <c r="O195" i="3"/>
  <c r="U205" i="3"/>
  <c r="T205" i="3"/>
  <c r="O227" i="3"/>
  <c r="U229" i="3"/>
  <c r="T229" i="3"/>
  <c r="O236" i="3"/>
  <c r="T249" i="3"/>
  <c r="U249" i="3"/>
  <c r="U291" i="3"/>
  <c r="T291" i="3"/>
  <c r="T322" i="3"/>
  <c r="U322" i="3"/>
  <c r="T394" i="3"/>
  <c r="U394" i="3"/>
  <c r="T395" i="3"/>
  <c r="U395" i="3"/>
  <c r="T490" i="3"/>
  <c r="U490" i="3"/>
  <c r="U135" i="3"/>
  <c r="T135" i="3"/>
  <c r="U221" i="3"/>
  <c r="T221" i="3"/>
  <c r="O67" i="3"/>
  <c r="P67" i="3" s="1"/>
  <c r="S69" i="3"/>
  <c r="T69" i="3" s="1"/>
  <c r="R69" i="3"/>
  <c r="R70" i="3"/>
  <c r="P70" i="3"/>
  <c r="O70" i="3"/>
  <c r="K4" i="4" s="1"/>
  <c r="R72" i="3"/>
  <c r="Q72" i="3"/>
  <c r="P93" i="3"/>
  <c r="S94" i="3"/>
  <c r="Q95" i="3"/>
  <c r="P96" i="3"/>
  <c r="S99" i="3"/>
  <c r="Q99" i="3"/>
  <c r="P99" i="3"/>
  <c r="S101" i="3"/>
  <c r="R101" i="3"/>
  <c r="O101" i="3"/>
  <c r="Q102" i="3"/>
  <c r="R103" i="3"/>
  <c r="O107" i="3"/>
  <c r="Q109" i="3"/>
  <c r="T116" i="3"/>
  <c r="R126" i="3"/>
  <c r="Q126" i="3"/>
  <c r="P126" i="3"/>
  <c r="O126" i="3"/>
  <c r="O131" i="3"/>
  <c r="Q133" i="3"/>
  <c r="R142" i="3"/>
  <c r="Q142" i="3"/>
  <c r="P142" i="3"/>
  <c r="O142" i="3"/>
  <c r="Q149" i="3"/>
  <c r="R158" i="3"/>
  <c r="Q158" i="3"/>
  <c r="P158" i="3"/>
  <c r="O158" i="3"/>
  <c r="S158" i="3"/>
  <c r="T164" i="3"/>
  <c r="T168" i="3"/>
  <c r="U168" i="3"/>
  <c r="S171" i="3"/>
  <c r="R171" i="3"/>
  <c r="Q171" i="3"/>
  <c r="P171" i="3"/>
  <c r="R190" i="3"/>
  <c r="Q190" i="3"/>
  <c r="P190" i="3"/>
  <c r="O190" i="3"/>
  <c r="S190" i="3"/>
  <c r="T196" i="3"/>
  <c r="T200" i="3"/>
  <c r="U200" i="3"/>
  <c r="S203" i="3"/>
  <c r="R203" i="3"/>
  <c r="Q203" i="3"/>
  <c r="P203" i="3"/>
  <c r="R222" i="3"/>
  <c r="Q222" i="3"/>
  <c r="P222" i="3"/>
  <c r="O222" i="3"/>
  <c r="S222" i="3"/>
  <c r="T248" i="3"/>
  <c r="U248" i="3"/>
  <c r="U253" i="3"/>
  <c r="T253" i="3"/>
  <c r="Q256" i="3"/>
  <c r="S256" i="3"/>
  <c r="R256" i="3"/>
  <c r="P256" i="3"/>
  <c r="O256" i="3"/>
  <c r="T263" i="3"/>
  <c r="U263" i="3"/>
  <c r="S259" i="3"/>
  <c r="P259" i="3"/>
  <c r="O259" i="3"/>
  <c r="U260" i="3"/>
  <c r="T260" i="3"/>
  <c r="R261" i="3"/>
  <c r="Q261" i="3"/>
  <c r="O288" i="3"/>
  <c r="R288" i="3"/>
  <c r="S288" i="3"/>
  <c r="Q288" i="3"/>
  <c r="O305" i="3"/>
  <c r="Q305" i="3"/>
  <c r="P305" i="3"/>
  <c r="R433" i="3"/>
  <c r="Q433" i="3"/>
  <c r="O433" i="3"/>
  <c r="S433" i="3"/>
  <c r="L33" i="6"/>
  <c r="D33" i="6"/>
  <c r="K33" i="6"/>
  <c r="C33" i="6"/>
  <c r="H33" i="6"/>
  <c r="G33" i="6"/>
  <c r="J33" i="6"/>
  <c r="I33" i="6"/>
  <c r="F33" i="6"/>
  <c r="B33" i="6"/>
  <c r="T33" i="6" s="1"/>
  <c r="Q111" i="3"/>
  <c r="Q119" i="3"/>
  <c r="Q127" i="3"/>
  <c r="Q135" i="3"/>
  <c r="Q143" i="3"/>
  <c r="Q151" i="3"/>
  <c r="O157" i="3"/>
  <c r="Q159" i="3"/>
  <c r="O165" i="3"/>
  <c r="Q167" i="3"/>
  <c r="O173" i="3"/>
  <c r="Q175" i="3"/>
  <c r="O181" i="3"/>
  <c r="Q183" i="3"/>
  <c r="O189" i="3"/>
  <c r="Q191" i="3"/>
  <c r="O197" i="3"/>
  <c r="Q199" i="3"/>
  <c r="O205" i="3"/>
  <c r="Q207" i="3"/>
  <c r="O213" i="3"/>
  <c r="Q215" i="3"/>
  <c r="O221" i="3"/>
  <c r="Q223" i="3"/>
  <c r="O229" i="3"/>
  <c r="Q231" i="3"/>
  <c r="S235" i="3"/>
  <c r="P235" i="3"/>
  <c r="R240" i="3"/>
  <c r="O248" i="3"/>
  <c r="O253" i="3"/>
  <c r="R254" i="3"/>
  <c r="O254" i="3"/>
  <c r="Q259" i="3"/>
  <c r="O260" i="3"/>
  <c r="O261" i="3"/>
  <c r="S264" i="3"/>
  <c r="Q264" i="3"/>
  <c r="P264" i="3"/>
  <c r="R269" i="3"/>
  <c r="Q269" i="3"/>
  <c r="S272" i="3"/>
  <c r="Q272" i="3"/>
  <c r="P272" i="3"/>
  <c r="O272" i="3"/>
  <c r="P276" i="3"/>
  <c r="O276" i="3"/>
  <c r="S276" i="3"/>
  <c r="T278" i="3"/>
  <c r="U279" i="3"/>
  <c r="P288" i="3"/>
  <c r="R295" i="3"/>
  <c r="Q295" i="3"/>
  <c r="P295" i="3"/>
  <c r="O295" i="3"/>
  <c r="R305" i="3"/>
  <c r="O328" i="3"/>
  <c r="R328" i="3"/>
  <c r="Q328" i="3"/>
  <c r="P328" i="3"/>
  <c r="U345" i="3"/>
  <c r="T345" i="3"/>
  <c r="T347" i="3"/>
  <c r="U347" i="3"/>
  <c r="U369" i="3"/>
  <c r="T369" i="3"/>
  <c r="T371" i="3"/>
  <c r="U371" i="3"/>
  <c r="U417" i="3"/>
  <c r="T417" i="3"/>
  <c r="T419" i="3"/>
  <c r="U419" i="3"/>
  <c r="U421" i="3"/>
  <c r="T421" i="3"/>
  <c r="P433" i="3"/>
  <c r="T466" i="3"/>
  <c r="U466" i="3"/>
  <c r="T467" i="3"/>
  <c r="U467" i="3"/>
  <c r="Q104" i="3"/>
  <c r="Q112" i="3"/>
  <c r="Q120" i="3"/>
  <c r="Q128" i="3"/>
  <c r="Q136" i="3"/>
  <c r="Q144" i="3"/>
  <c r="Q152" i="3"/>
  <c r="R157" i="3"/>
  <c r="T159" i="3"/>
  <c r="Q160" i="3"/>
  <c r="R165" i="3"/>
  <c r="T167" i="3"/>
  <c r="Q168" i="3"/>
  <c r="R173" i="3"/>
  <c r="T175" i="3"/>
  <c r="Q176" i="3"/>
  <c r="R181" i="3"/>
  <c r="T183" i="3"/>
  <c r="Q184" i="3"/>
  <c r="R189" i="3"/>
  <c r="T191" i="3"/>
  <c r="Q192" i="3"/>
  <c r="R197" i="3"/>
  <c r="T199" i="3"/>
  <c r="Q200" i="3"/>
  <c r="R205" i="3"/>
  <c r="T207" i="3"/>
  <c r="Q208" i="3"/>
  <c r="R213" i="3"/>
  <c r="T215" i="3"/>
  <c r="Q216" i="3"/>
  <c r="R221" i="3"/>
  <c r="T223" i="3"/>
  <c r="Q224" i="3"/>
  <c r="R229" i="3"/>
  <c r="T231" i="3"/>
  <c r="Q232" i="3"/>
  <c r="T234" i="3"/>
  <c r="R235" i="3"/>
  <c r="R238" i="3"/>
  <c r="O238" i="3"/>
  <c r="T241" i="3"/>
  <c r="U247" i="3"/>
  <c r="S248" i="3"/>
  <c r="S253" i="3"/>
  <c r="S254" i="3"/>
  <c r="S260" i="3"/>
  <c r="T262" i="3"/>
  <c r="S269" i="3"/>
  <c r="T270" i="3"/>
  <c r="T321" i="3"/>
  <c r="U321" i="3"/>
  <c r="P344" i="3"/>
  <c r="O344" i="3"/>
  <c r="R344" i="3"/>
  <c r="S344" i="3"/>
  <c r="Q344" i="3"/>
  <c r="P368" i="3"/>
  <c r="O368" i="3"/>
  <c r="R368" i="3"/>
  <c r="S368" i="3"/>
  <c r="Q368" i="3"/>
  <c r="P416" i="3"/>
  <c r="O416" i="3"/>
  <c r="R416" i="3"/>
  <c r="S416" i="3"/>
  <c r="Q416" i="3"/>
  <c r="S439" i="3"/>
  <c r="R439" i="3"/>
  <c r="P439" i="3"/>
  <c r="O439" i="3"/>
  <c r="R465" i="3"/>
  <c r="Q465" i="3"/>
  <c r="O465" i="3"/>
  <c r="S465" i="3"/>
  <c r="P465" i="3"/>
  <c r="R480" i="3"/>
  <c r="Q480" i="3"/>
  <c r="P480" i="3"/>
  <c r="O480" i="3"/>
  <c r="O97" i="3"/>
  <c r="O105" i="3"/>
  <c r="O129" i="3"/>
  <c r="O137" i="3"/>
  <c r="O145" i="3"/>
  <c r="O153" i="3"/>
  <c r="O161" i="3"/>
  <c r="O169" i="3"/>
  <c r="O177" i="3"/>
  <c r="O185" i="3"/>
  <c r="O193" i="3"/>
  <c r="O201" i="3"/>
  <c r="O209" i="3"/>
  <c r="O217" i="3"/>
  <c r="O225" i="3"/>
  <c r="O233" i="3"/>
  <c r="P238" i="3"/>
  <c r="O244" i="3"/>
  <c r="S280" i="3"/>
  <c r="Q280" i="3"/>
  <c r="P280" i="3"/>
  <c r="O280" i="3"/>
  <c r="P284" i="3"/>
  <c r="O284" i="3"/>
  <c r="S284" i="3"/>
  <c r="Q439" i="3"/>
  <c r="T451" i="3"/>
  <c r="U451" i="3"/>
  <c r="U453" i="3"/>
  <c r="T453" i="3"/>
  <c r="S480" i="3"/>
  <c r="R246" i="3"/>
  <c r="O246" i="3"/>
  <c r="S251" i="3"/>
  <c r="P251" i="3"/>
  <c r="O289" i="3"/>
  <c r="R289" i="3"/>
  <c r="Q289" i="3"/>
  <c r="P289" i="3"/>
  <c r="P301" i="3"/>
  <c r="S301" i="3"/>
  <c r="R301" i="3"/>
  <c r="Q301" i="3"/>
  <c r="O301" i="3"/>
  <c r="O320" i="3"/>
  <c r="R320" i="3"/>
  <c r="Q320" i="3"/>
  <c r="P320" i="3"/>
  <c r="S423" i="3"/>
  <c r="R423" i="3"/>
  <c r="P423" i="3"/>
  <c r="O423" i="3"/>
  <c r="R449" i="3"/>
  <c r="Q449" i="3"/>
  <c r="O449" i="3"/>
  <c r="S449" i="3"/>
  <c r="S238" i="3"/>
  <c r="O240" i="3"/>
  <c r="R244" i="3"/>
  <c r="P246" i="3"/>
  <c r="O251" i="3"/>
  <c r="T266" i="3"/>
  <c r="R277" i="3"/>
  <c r="Q277" i="3"/>
  <c r="P277" i="3"/>
  <c r="S289" i="3"/>
  <c r="T306" i="3"/>
  <c r="U306" i="3"/>
  <c r="S320" i="3"/>
  <c r="T329" i="3"/>
  <c r="U329" i="3"/>
  <c r="S351" i="3"/>
  <c r="R351" i="3"/>
  <c r="P351" i="3"/>
  <c r="O351" i="3"/>
  <c r="Q351" i="3"/>
  <c r="S375" i="3"/>
  <c r="R375" i="3"/>
  <c r="P375" i="3"/>
  <c r="O375" i="3"/>
  <c r="Q375" i="3"/>
  <c r="S399" i="3"/>
  <c r="R399" i="3"/>
  <c r="P399" i="3"/>
  <c r="O399" i="3"/>
  <c r="Q399" i="3"/>
  <c r="Q423" i="3"/>
  <c r="T435" i="3"/>
  <c r="U435" i="3"/>
  <c r="U437" i="3"/>
  <c r="T437" i="3"/>
  <c r="P449" i="3"/>
  <c r="T474" i="3"/>
  <c r="U474" i="3"/>
  <c r="O296" i="3"/>
  <c r="R296" i="3"/>
  <c r="R337" i="3"/>
  <c r="Q337" i="3"/>
  <c r="O337" i="3"/>
  <c r="R361" i="3"/>
  <c r="Q361" i="3"/>
  <c r="O361" i="3"/>
  <c r="P392" i="3"/>
  <c r="O392" i="3"/>
  <c r="R392" i="3"/>
  <c r="R409" i="3"/>
  <c r="Q409" i="3"/>
  <c r="O409" i="3"/>
  <c r="P432" i="3"/>
  <c r="O432" i="3"/>
  <c r="R432" i="3"/>
  <c r="P448" i="3"/>
  <c r="O448" i="3"/>
  <c r="R448" i="3"/>
  <c r="B21" i="5"/>
  <c r="G19" i="4"/>
  <c r="F19" i="4"/>
  <c r="M19" i="4"/>
  <c r="E19" i="4"/>
  <c r="L19" i="4"/>
  <c r="D19" i="4"/>
  <c r="K19" i="4"/>
  <c r="C19" i="4"/>
  <c r="I19" i="4"/>
  <c r="A19" i="4"/>
  <c r="J19" i="4"/>
  <c r="H19" i="4"/>
  <c r="S263" i="3"/>
  <c r="S271" i="3"/>
  <c r="O275" i="3"/>
  <c r="S279" i="3"/>
  <c r="O283" i="3"/>
  <c r="S287" i="3"/>
  <c r="O290" i="3"/>
  <c r="P296" i="3"/>
  <c r="O302" i="3"/>
  <c r="P309" i="3"/>
  <c r="S309" i="3"/>
  <c r="R310" i="3"/>
  <c r="P310" i="3"/>
  <c r="R311" i="3"/>
  <c r="O311" i="3"/>
  <c r="O312" i="3"/>
  <c r="R312" i="3"/>
  <c r="Q313" i="3"/>
  <c r="O313" i="3"/>
  <c r="P337" i="3"/>
  <c r="S343" i="3"/>
  <c r="R343" i="3"/>
  <c r="P343" i="3"/>
  <c r="O343" i="3"/>
  <c r="P361" i="3"/>
  <c r="S367" i="3"/>
  <c r="R367" i="3"/>
  <c r="P367" i="3"/>
  <c r="O367" i="3"/>
  <c r="R385" i="3"/>
  <c r="Q385" i="3"/>
  <c r="O385" i="3"/>
  <c r="Q392" i="3"/>
  <c r="P409" i="3"/>
  <c r="S415" i="3"/>
  <c r="R415" i="3"/>
  <c r="P415" i="3"/>
  <c r="O415" i="3"/>
  <c r="Q432" i="3"/>
  <c r="Q448" i="3"/>
  <c r="P464" i="3"/>
  <c r="O464" i="3"/>
  <c r="R464" i="3"/>
  <c r="P479" i="3"/>
  <c r="S479" i="3"/>
  <c r="Q479" i="3"/>
  <c r="O479" i="3"/>
  <c r="B35" i="5"/>
  <c r="I33" i="4"/>
  <c r="A33" i="4"/>
  <c r="H33" i="4"/>
  <c r="G33" i="4"/>
  <c r="F33" i="4"/>
  <c r="M33" i="4"/>
  <c r="E33" i="4"/>
  <c r="K33" i="4"/>
  <c r="C33" i="4"/>
  <c r="L33" i="4"/>
  <c r="D33" i="4"/>
  <c r="O262" i="3"/>
  <c r="O270" i="3"/>
  <c r="P275" i="3"/>
  <c r="O278" i="3"/>
  <c r="P283" i="3"/>
  <c r="O286" i="3"/>
  <c r="P290" i="3"/>
  <c r="Q296" i="3"/>
  <c r="P297" i="3"/>
  <c r="Q302" i="3"/>
  <c r="O303" i="3"/>
  <c r="O304" i="3"/>
  <c r="R304" i="3"/>
  <c r="O309" i="3"/>
  <c r="O310" i="3"/>
  <c r="P311" i="3"/>
  <c r="P312" i="3"/>
  <c r="P313" i="3"/>
  <c r="R321" i="3"/>
  <c r="Q321" i="3"/>
  <c r="O321" i="3"/>
  <c r="R329" i="3"/>
  <c r="Q329" i="3"/>
  <c r="O329" i="3"/>
  <c r="P336" i="3"/>
  <c r="O336" i="3"/>
  <c r="R336" i="3"/>
  <c r="S337" i="3"/>
  <c r="Q343" i="3"/>
  <c r="P360" i="3"/>
  <c r="O360" i="3"/>
  <c r="R360" i="3"/>
  <c r="S361" i="3"/>
  <c r="Q367" i="3"/>
  <c r="P385" i="3"/>
  <c r="S391" i="3"/>
  <c r="R391" i="3"/>
  <c r="P391" i="3"/>
  <c r="O391" i="3"/>
  <c r="S392" i="3"/>
  <c r="P408" i="3"/>
  <c r="O408" i="3"/>
  <c r="R408" i="3"/>
  <c r="S409" i="3"/>
  <c r="Q415" i="3"/>
  <c r="R425" i="3"/>
  <c r="Q425" i="3"/>
  <c r="O425" i="3"/>
  <c r="S431" i="3"/>
  <c r="R431" i="3"/>
  <c r="P431" i="3"/>
  <c r="O431" i="3"/>
  <c r="S432" i="3"/>
  <c r="R441" i="3"/>
  <c r="Q441" i="3"/>
  <c r="O441" i="3"/>
  <c r="S447" i="3"/>
  <c r="R447" i="3"/>
  <c r="P447" i="3"/>
  <c r="O447" i="3"/>
  <c r="S448" i="3"/>
  <c r="R457" i="3"/>
  <c r="Q457" i="3"/>
  <c r="O457" i="3"/>
  <c r="Q464" i="3"/>
  <c r="R479" i="3"/>
  <c r="B29" i="5"/>
  <c r="G27" i="4"/>
  <c r="F27" i="4"/>
  <c r="M27" i="4"/>
  <c r="E27" i="4"/>
  <c r="L27" i="4"/>
  <c r="D27" i="4"/>
  <c r="K27" i="4"/>
  <c r="C27" i="4"/>
  <c r="I27" i="4"/>
  <c r="A27" i="4"/>
  <c r="H27" i="4"/>
  <c r="J33" i="4"/>
  <c r="R353" i="3"/>
  <c r="Q353" i="3"/>
  <c r="O353" i="3"/>
  <c r="U362" i="3"/>
  <c r="R377" i="3"/>
  <c r="Q377" i="3"/>
  <c r="O377" i="3"/>
  <c r="P384" i="3"/>
  <c r="O384" i="3"/>
  <c r="R384" i="3"/>
  <c r="R401" i="3"/>
  <c r="Q401" i="3"/>
  <c r="O401" i="3"/>
  <c r="U410" i="3"/>
  <c r="U425" i="3"/>
  <c r="T425" i="3"/>
  <c r="U441" i="3"/>
  <c r="T441" i="3"/>
  <c r="U457" i="3"/>
  <c r="T457" i="3"/>
  <c r="S463" i="3"/>
  <c r="R463" i="3"/>
  <c r="P463" i="3"/>
  <c r="O463" i="3"/>
  <c r="S464" i="3"/>
  <c r="P486" i="3"/>
  <c r="O486" i="3"/>
  <c r="S486" i="3"/>
  <c r="Q486" i="3"/>
  <c r="B19" i="5"/>
  <c r="C12" i="4"/>
  <c r="B7" i="8" s="1"/>
  <c r="L12" i="4"/>
  <c r="B16" i="8" s="1"/>
  <c r="R275" i="3"/>
  <c r="R283" i="3"/>
  <c r="S290" i="3"/>
  <c r="S302" i="3"/>
  <c r="R319" i="3"/>
  <c r="P319" i="3"/>
  <c r="O319" i="3"/>
  <c r="R327" i="3"/>
  <c r="P327" i="3"/>
  <c r="O327" i="3"/>
  <c r="S335" i="3"/>
  <c r="R335" i="3"/>
  <c r="P335" i="3"/>
  <c r="O335" i="3"/>
  <c r="T349" i="3"/>
  <c r="U353" i="3"/>
  <c r="T353" i="3"/>
  <c r="S359" i="3"/>
  <c r="R359" i="3"/>
  <c r="P359" i="3"/>
  <c r="O359" i="3"/>
  <c r="T373" i="3"/>
  <c r="U377" i="3"/>
  <c r="T377" i="3"/>
  <c r="T397" i="3"/>
  <c r="U401" i="3"/>
  <c r="T401" i="3"/>
  <c r="S407" i="3"/>
  <c r="R407" i="3"/>
  <c r="P407" i="3"/>
  <c r="O407" i="3"/>
  <c r="P424" i="3"/>
  <c r="O424" i="3"/>
  <c r="R424" i="3"/>
  <c r="P440" i="3"/>
  <c r="O440" i="3"/>
  <c r="R440" i="3"/>
  <c r="P456" i="3"/>
  <c r="O456" i="3"/>
  <c r="R456" i="3"/>
  <c r="Q463" i="3"/>
  <c r="P478" i="3"/>
  <c r="O478" i="3"/>
  <c r="S478" i="3"/>
  <c r="R478" i="3"/>
  <c r="Q478" i="3"/>
  <c r="R486" i="3"/>
  <c r="B27" i="5"/>
  <c r="I25" i="4"/>
  <c r="A25" i="4"/>
  <c r="H25" i="4"/>
  <c r="G25" i="4"/>
  <c r="F25" i="4"/>
  <c r="M25" i="4"/>
  <c r="E25" i="4"/>
  <c r="K25" i="4"/>
  <c r="C25" i="4"/>
  <c r="L25" i="4"/>
  <c r="D25" i="4"/>
  <c r="P293" i="3"/>
  <c r="S293" i="3"/>
  <c r="S297" i="3"/>
  <c r="T302" i="3"/>
  <c r="S303" i="3"/>
  <c r="O306" i="3"/>
  <c r="S318" i="3"/>
  <c r="R318" i="3"/>
  <c r="P318" i="3"/>
  <c r="Q319" i="3"/>
  <c r="S326" i="3"/>
  <c r="R326" i="3"/>
  <c r="P326" i="3"/>
  <c r="Q327" i="3"/>
  <c r="Q335" i="3"/>
  <c r="R345" i="3"/>
  <c r="Q345" i="3"/>
  <c r="O345" i="3"/>
  <c r="P352" i="3"/>
  <c r="O352" i="3"/>
  <c r="R352" i="3"/>
  <c r="S353" i="3"/>
  <c r="Q359" i="3"/>
  <c r="R369" i="3"/>
  <c r="Q369" i="3"/>
  <c r="O369" i="3"/>
  <c r="P376" i="3"/>
  <c r="O376" i="3"/>
  <c r="R376" i="3"/>
  <c r="S377" i="3"/>
  <c r="S383" i="3"/>
  <c r="R383" i="3"/>
  <c r="P383" i="3"/>
  <c r="O383" i="3"/>
  <c r="S384" i="3"/>
  <c r="U387" i="3"/>
  <c r="P400" i="3"/>
  <c r="O400" i="3"/>
  <c r="R400" i="3"/>
  <c r="S401" i="3"/>
  <c r="Q407" i="3"/>
  <c r="R417" i="3"/>
  <c r="Q417" i="3"/>
  <c r="O417" i="3"/>
  <c r="Q424" i="3"/>
  <c r="U427" i="3"/>
  <c r="Q440" i="3"/>
  <c r="U443" i="3"/>
  <c r="Q456" i="3"/>
  <c r="U459" i="3"/>
  <c r="S482" i="3"/>
  <c r="O482" i="3"/>
  <c r="Q482" i="3"/>
  <c r="P482" i="3"/>
  <c r="U492" i="3"/>
  <c r="T492" i="3"/>
  <c r="J25" i="4"/>
  <c r="S317" i="3"/>
  <c r="S325" i="3"/>
  <c r="S333" i="3"/>
  <c r="P334" i="3"/>
  <c r="S341" i="3"/>
  <c r="P342" i="3"/>
  <c r="S349" i="3"/>
  <c r="P350" i="3"/>
  <c r="S357" i="3"/>
  <c r="P358" i="3"/>
  <c r="S365" i="3"/>
  <c r="P366" i="3"/>
  <c r="S373" i="3"/>
  <c r="P374" i="3"/>
  <c r="S381" i="3"/>
  <c r="P382" i="3"/>
  <c r="S389" i="3"/>
  <c r="P390" i="3"/>
  <c r="S397" i="3"/>
  <c r="P398" i="3"/>
  <c r="S405" i="3"/>
  <c r="P406" i="3"/>
  <c r="S413" i="3"/>
  <c r="P414" i="3"/>
  <c r="S421" i="3"/>
  <c r="P422" i="3"/>
  <c r="S429" i="3"/>
  <c r="P430" i="3"/>
  <c r="S437" i="3"/>
  <c r="P438" i="3"/>
  <c r="S445" i="3"/>
  <c r="P446" i="3"/>
  <c r="S453" i="3"/>
  <c r="P454" i="3"/>
  <c r="S461" i="3"/>
  <c r="P462" i="3"/>
  <c r="T488" i="3"/>
  <c r="R334" i="3"/>
  <c r="R342" i="3"/>
  <c r="R350" i="3"/>
  <c r="R358" i="3"/>
  <c r="R366" i="3"/>
  <c r="R374" i="3"/>
  <c r="R382" i="3"/>
  <c r="R390" i="3"/>
  <c r="R398" i="3"/>
  <c r="R406" i="3"/>
  <c r="R414" i="3"/>
  <c r="R422" i="3"/>
  <c r="R430" i="3"/>
  <c r="R438" i="3"/>
  <c r="R446" i="3"/>
  <c r="R454" i="3"/>
  <c r="R462" i="3"/>
  <c r="S469" i="3"/>
  <c r="R469" i="3"/>
  <c r="T484" i="3"/>
  <c r="U489" i="3"/>
  <c r="U500" i="3"/>
  <c r="T500" i="3"/>
  <c r="B54" i="5"/>
  <c r="G52" i="4"/>
  <c r="F52" i="4"/>
  <c r="M52" i="4"/>
  <c r="E52" i="4"/>
  <c r="L52" i="4"/>
  <c r="D52" i="4"/>
  <c r="K52" i="4"/>
  <c r="C52" i="4"/>
  <c r="I52" i="4"/>
  <c r="A52" i="4"/>
  <c r="H52" i="4"/>
  <c r="O426" i="3"/>
  <c r="O434" i="3"/>
  <c r="O442" i="3"/>
  <c r="O450" i="3"/>
  <c r="O458" i="3"/>
  <c r="O466" i="3"/>
  <c r="P470" i="3"/>
  <c r="O470" i="3"/>
  <c r="S470" i="3"/>
  <c r="U471" i="3"/>
  <c r="T471" i="3"/>
  <c r="R472" i="3"/>
  <c r="Q472" i="3"/>
  <c r="S498" i="3"/>
  <c r="R498" i="3"/>
  <c r="Q498" i="3"/>
  <c r="O498" i="3"/>
  <c r="B11" i="5"/>
  <c r="K9" i="4"/>
  <c r="M9" i="4" s="1"/>
  <c r="C9" i="4"/>
  <c r="B13" i="5"/>
  <c r="G4" i="4"/>
  <c r="C4" i="4"/>
  <c r="I40" i="5"/>
  <c r="A40" i="5"/>
  <c r="H40" i="5"/>
  <c r="G40" i="5"/>
  <c r="F40" i="5"/>
  <c r="D40" i="5"/>
  <c r="J40" i="5"/>
  <c r="C40" i="5"/>
  <c r="E40" i="5"/>
  <c r="J52" i="4"/>
  <c r="U498" i="3"/>
  <c r="T498" i="3"/>
  <c r="Q469" i="3"/>
  <c r="R470" i="3"/>
  <c r="Q471" i="3"/>
  <c r="P472" i="3"/>
  <c r="R488" i="3"/>
  <c r="Q488" i="3"/>
  <c r="O488" i="3"/>
  <c r="S496" i="3"/>
  <c r="R496" i="3"/>
  <c r="Q496" i="3"/>
  <c r="P496" i="3"/>
  <c r="O496" i="3"/>
  <c r="B5" i="5"/>
  <c r="G6" i="4"/>
  <c r="C6" i="4"/>
  <c r="S474" i="3"/>
  <c r="O474" i="3"/>
  <c r="Q475" i="3"/>
  <c r="P475" i="3"/>
  <c r="R487" i="3"/>
  <c r="P487" i="3"/>
  <c r="S490" i="3"/>
  <c r="Q490" i="3"/>
  <c r="O490" i="3"/>
  <c r="I32" i="5"/>
  <c r="A32" i="5"/>
  <c r="H32" i="5"/>
  <c r="G32" i="5"/>
  <c r="F32" i="5"/>
  <c r="D32" i="5"/>
  <c r="J32" i="5"/>
  <c r="E32" i="5"/>
  <c r="C32" i="5"/>
  <c r="B62" i="5"/>
  <c r="G60" i="4"/>
  <c r="F60" i="4"/>
  <c r="M60" i="4"/>
  <c r="E60" i="4"/>
  <c r="L60" i="4"/>
  <c r="D60" i="4"/>
  <c r="K60" i="4"/>
  <c r="C60" i="4"/>
  <c r="I60" i="4"/>
  <c r="A60" i="4"/>
  <c r="H60" i="4"/>
  <c r="S494" i="3"/>
  <c r="P495" i="3"/>
  <c r="L15" i="4"/>
  <c r="G14" i="4"/>
  <c r="C8" i="5"/>
  <c r="L17" i="4"/>
  <c r="C16" i="5"/>
  <c r="D20" i="4"/>
  <c r="L20" i="4"/>
  <c r="G21" i="4"/>
  <c r="D24" i="5"/>
  <c r="C24" i="5"/>
  <c r="J24" i="5"/>
  <c r="I24" i="5"/>
  <c r="A24" i="5"/>
  <c r="H24" i="5"/>
  <c r="F24" i="5"/>
  <c r="J22" i="4"/>
  <c r="E23" i="4"/>
  <c r="M23" i="4"/>
  <c r="H24" i="4"/>
  <c r="D28" i="4"/>
  <c r="L28" i="4"/>
  <c r="G29" i="4"/>
  <c r="J30" i="4"/>
  <c r="E31" i="4"/>
  <c r="M31" i="4"/>
  <c r="H32" i="4"/>
  <c r="D36" i="4"/>
  <c r="L36" i="4"/>
  <c r="G37" i="4"/>
  <c r="J38" i="4"/>
  <c r="F39" i="4"/>
  <c r="B42" i="5"/>
  <c r="J40" i="4"/>
  <c r="H40" i="4"/>
  <c r="L40" i="4"/>
  <c r="I41" i="4"/>
  <c r="E43" i="4"/>
  <c r="B46" i="5"/>
  <c r="F44" i="4"/>
  <c r="L44" i="4"/>
  <c r="D44" i="4"/>
  <c r="I44" i="4"/>
  <c r="B47" i="5"/>
  <c r="I45" i="4"/>
  <c r="A45" i="4"/>
  <c r="H45" i="4"/>
  <c r="G45" i="4"/>
  <c r="L45" i="4"/>
  <c r="D45" i="4"/>
  <c r="D51" i="5"/>
  <c r="C51" i="5"/>
  <c r="J51" i="5"/>
  <c r="I51" i="5"/>
  <c r="A51" i="5"/>
  <c r="H51" i="5"/>
  <c r="F51" i="5"/>
  <c r="E51" i="5"/>
  <c r="J17" i="6"/>
  <c r="B17" i="6"/>
  <c r="F17" i="6"/>
  <c r="G17" i="6"/>
  <c r="I17" i="6"/>
  <c r="R495" i="3"/>
  <c r="T497" i="3"/>
  <c r="G10" i="5"/>
  <c r="F10" i="5"/>
  <c r="F18" i="5"/>
  <c r="F20" i="4"/>
  <c r="A21" i="4"/>
  <c r="I21" i="4"/>
  <c r="H26" i="5"/>
  <c r="G26" i="5"/>
  <c r="F26" i="5"/>
  <c r="E26" i="5"/>
  <c r="D26" i="5"/>
  <c r="J26" i="5"/>
  <c r="J24" i="4"/>
  <c r="F28" i="4"/>
  <c r="A29" i="4"/>
  <c r="I29" i="4"/>
  <c r="E34" i="5"/>
  <c r="D34" i="5"/>
  <c r="C34" i="5"/>
  <c r="J34" i="5"/>
  <c r="H34" i="5"/>
  <c r="I34" i="5"/>
  <c r="G34" i="5"/>
  <c r="F34" i="5"/>
  <c r="J32" i="4"/>
  <c r="F36" i="4"/>
  <c r="A37" i="4"/>
  <c r="I37" i="4"/>
  <c r="A41" i="4"/>
  <c r="C10" i="5"/>
  <c r="C26" i="5"/>
  <c r="G15" i="6"/>
  <c r="F15" i="6"/>
  <c r="J15" i="6"/>
  <c r="B15" i="6"/>
  <c r="I15" i="6"/>
  <c r="F7" i="5"/>
  <c r="C7" i="5"/>
  <c r="F15" i="5"/>
  <c r="H15" i="5" s="1"/>
  <c r="C15" i="5"/>
  <c r="F23" i="5"/>
  <c r="E23" i="5"/>
  <c r="D23" i="5"/>
  <c r="C23" i="5"/>
  <c r="J23" i="5"/>
  <c r="H23" i="5"/>
  <c r="J21" i="4"/>
  <c r="C31" i="5"/>
  <c r="J31" i="5"/>
  <c r="H31" i="5"/>
  <c r="F31" i="5"/>
  <c r="E31" i="5"/>
  <c r="D31" i="5"/>
  <c r="A31" i="5"/>
  <c r="I31" i="5"/>
  <c r="J29" i="4"/>
  <c r="G36" i="4"/>
  <c r="C39" i="5"/>
  <c r="J39" i="5"/>
  <c r="I39" i="5"/>
  <c r="A39" i="5"/>
  <c r="H39" i="5"/>
  <c r="F39" i="5"/>
  <c r="G39" i="5"/>
  <c r="E39" i="5"/>
  <c r="D39" i="5"/>
  <c r="J37" i="4"/>
  <c r="B43" i="5"/>
  <c r="M41" i="4"/>
  <c r="E41" i="4"/>
  <c r="K41" i="4"/>
  <c r="C41" i="4"/>
  <c r="B52" i="5"/>
  <c r="I50" i="4"/>
  <c r="A50" i="4"/>
  <c r="H50" i="4"/>
  <c r="G50" i="4"/>
  <c r="F50" i="4"/>
  <c r="M50" i="4"/>
  <c r="E50" i="4"/>
  <c r="K50" i="4"/>
  <c r="C50" i="4"/>
  <c r="B60" i="5"/>
  <c r="I58" i="4"/>
  <c r="A58" i="4"/>
  <c r="H58" i="4"/>
  <c r="G58" i="4"/>
  <c r="F58" i="4"/>
  <c r="M58" i="4"/>
  <c r="E58" i="4"/>
  <c r="K58" i="4"/>
  <c r="C58" i="4"/>
  <c r="G7" i="5"/>
  <c r="C17" i="5"/>
  <c r="G23" i="5"/>
  <c r="I26" i="5"/>
  <c r="C30" i="5"/>
  <c r="F11" i="6"/>
  <c r="J11" i="6"/>
  <c r="B11" i="6"/>
  <c r="G11" i="6"/>
  <c r="H53" i="6"/>
  <c r="G53" i="6"/>
  <c r="F53" i="6"/>
  <c r="L53" i="6"/>
  <c r="D53" i="6"/>
  <c r="K53" i="6"/>
  <c r="C53" i="6"/>
  <c r="J53" i="6"/>
  <c r="I53" i="6"/>
  <c r="B53" i="6"/>
  <c r="T53" i="6" s="1"/>
  <c r="R477" i="3"/>
  <c r="P483" i="3"/>
  <c r="R485" i="3"/>
  <c r="P491" i="3"/>
  <c r="R493" i="3"/>
  <c r="O494" i="3"/>
  <c r="P499" i="3"/>
  <c r="R501" i="3"/>
  <c r="C4" i="5"/>
  <c r="C14" i="4"/>
  <c r="K14" i="4"/>
  <c r="F2" i="4"/>
  <c r="L13" i="4"/>
  <c r="M13" i="4" s="1"/>
  <c r="C12" i="5"/>
  <c r="C7" i="4"/>
  <c r="K7" i="4"/>
  <c r="D20" i="5"/>
  <c r="C20" i="5"/>
  <c r="J20" i="5"/>
  <c r="I20" i="5"/>
  <c r="A20" i="5"/>
  <c r="H20" i="5"/>
  <c r="F20" i="5"/>
  <c r="J18" i="4"/>
  <c r="H20" i="4"/>
  <c r="C21" i="4"/>
  <c r="K21" i="4"/>
  <c r="F22" i="4"/>
  <c r="A23" i="4"/>
  <c r="I23" i="4"/>
  <c r="D24" i="4"/>
  <c r="L24" i="4"/>
  <c r="D28" i="5"/>
  <c r="C28" i="5"/>
  <c r="J28" i="5"/>
  <c r="I28" i="5"/>
  <c r="A28" i="5"/>
  <c r="H28" i="5"/>
  <c r="F28" i="5"/>
  <c r="J26" i="4"/>
  <c r="H28" i="4"/>
  <c r="C29" i="4"/>
  <c r="K29" i="4"/>
  <c r="F30" i="4"/>
  <c r="A31" i="4"/>
  <c r="I31" i="4"/>
  <c r="D32" i="4"/>
  <c r="L32" i="4"/>
  <c r="I36" i="5"/>
  <c r="A36" i="5"/>
  <c r="H36" i="5"/>
  <c r="G36" i="5"/>
  <c r="F36" i="5"/>
  <c r="D36" i="5"/>
  <c r="J36" i="5"/>
  <c r="E36" i="5"/>
  <c r="J34" i="4"/>
  <c r="H36" i="4"/>
  <c r="C37" i="4"/>
  <c r="K37" i="4"/>
  <c r="F38" i="4"/>
  <c r="A39" i="4"/>
  <c r="F40" i="4"/>
  <c r="D41" i="4"/>
  <c r="B44" i="5"/>
  <c r="H42" i="4"/>
  <c r="F42" i="4"/>
  <c r="L42" i="4"/>
  <c r="J43" i="4"/>
  <c r="H44" i="4"/>
  <c r="J45" i="4"/>
  <c r="D50" i="4"/>
  <c r="D58" i="4"/>
  <c r="G4" i="5"/>
  <c r="C14" i="5"/>
  <c r="G20" i="5"/>
  <c r="I23" i="5"/>
  <c r="I11" i="6"/>
  <c r="L14" i="4"/>
  <c r="L7" i="4"/>
  <c r="A20" i="4"/>
  <c r="I20" i="4"/>
  <c r="D21" i="4"/>
  <c r="L21" i="4"/>
  <c r="J25" i="5"/>
  <c r="I25" i="5"/>
  <c r="A25" i="5"/>
  <c r="H25" i="5"/>
  <c r="G25" i="5"/>
  <c r="F25" i="5"/>
  <c r="D25" i="5"/>
  <c r="J23" i="4"/>
  <c r="E24" i="4"/>
  <c r="M24" i="4"/>
  <c r="A28" i="4"/>
  <c r="I28" i="4"/>
  <c r="D29" i="4"/>
  <c r="L29" i="4"/>
  <c r="G33" i="5"/>
  <c r="F33" i="5"/>
  <c r="E33" i="5"/>
  <c r="D33" i="5"/>
  <c r="J33" i="5"/>
  <c r="C33" i="5"/>
  <c r="A33" i="5"/>
  <c r="I33" i="5"/>
  <c r="J31" i="4"/>
  <c r="E32" i="4"/>
  <c r="M32" i="4"/>
  <c r="A36" i="4"/>
  <c r="I36" i="4"/>
  <c r="D37" i="4"/>
  <c r="L37" i="4"/>
  <c r="B41" i="5"/>
  <c r="M39" i="4"/>
  <c r="E39" i="4"/>
  <c r="K39" i="4"/>
  <c r="F41" i="4"/>
  <c r="J50" i="4"/>
  <c r="J58" i="4"/>
  <c r="E24" i="5"/>
  <c r="G31" i="5"/>
  <c r="G51" i="5"/>
  <c r="G6" i="5"/>
  <c r="G14" i="5"/>
  <c r="H22" i="5"/>
  <c r="G22" i="5"/>
  <c r="F22" i="5"/>
  <c r="E22" i="5"/>
  <c r="D22" i="5"/>
  <c r="J22" i="5"/>
  <c r="J20" i="4"/>
  <c r="E21" i="4"/>
  <c r="M21" i="4"/>
  <c r="E30" i="5"/>
  <c r="J30" i="5"/>
  <c r="H30" i="5"/>
  <c r="A30" i="5"/>
  <c r="I30" i="5"/>
  <c r="G30" i="5"/>
  <c r="D30" i="5"/>
  <c r="J28" i="4"/>
  <c r="E38" i="5"/>
  <c r="D38" i="5"/>
  <c r="C38" i="5"/>
  <c r="J38" i="5"/>
  <c r="H38" i="5"/>
  <c r="I38" i="5"/>
  <c r="G38" i="5"/>
  <c r="A38" i="5"/>
  <c r="J36" i="4"/>
  <c r="E37" i="4"/>
  <c r="M37" i="4"/>
  <c r="G41" i="4"/>
  <c r="B45" i="5"/>
  <c r="K43" i="4"/>
  <c r="C43" i="4"/>
  <c r="I43" i="4"/>
  <c r="A43" i="4"/>
  <c r="M43" i="4"/>
  <c r="L50" i="4"/>
  <c r="L58" i="4"/>
  <c r="C18" i="5"/>
  <c r="G24" i="5"/>
  <c r="H49" i="5"/>
  <c r="G49" i="5"/>
  <c r="F49" i="5"/>
  <c r="E49" i="5"/>
  <c r="D49" i="5"/>
  <c r="J49" i="5"/>
  <c r="J47" i="4"/>
  <c r="H49" i="4"/>
  <c r="D53" i="4"/>
  <c r="L53" i="4"/>
  <c r="H57" i="5"/>
  <c r="G57" i="5"/>
  <c r="F57" i="5"/>
  <c r="E57" i="5"/>
  <c r="D57" i="5"/>
  <c r="J57" i="5"/>
  <c r="J55" i="4"/>
  <c r="H57" i="4"/>
  <c r="A49" i="5"/>
  <c r="H37" i="6"/>
  <c r="G37" i="6"/>
  <c r="F37" i="6"/>
  <c r="L37" i="6"/>
  <c r="D37" i="6"/>
  <c r="K37" i="6"/>
  <c r="C37" i="6"/>
  <c r="J37" i="6"/>
  <c r="I37" i="6"/>
  <c r="B37" i="6"/>
  <c r="J49" i="4"/>
  <c r="D59" i="5"/>
  <c r="C59" i="5"/>
  <c r="J59" i="5"/>
  <c r="I59" i="5"/>
  <c r="A59" i="5"/>
  <c r="H59" i="5"/>
  <c r="F59" i="5"/>
  <c r="J57" i="4"/>
  <c r="I49" i="5"/>
  <c r="A53" i="5"/>
  <c r="E59" i="5"/>
  <c r="J48" i="5"/>
  <c r="I48" i="5"/>
  <c r="A48" i="5"/>
  <c r="H48" i="5"/>
  <c r="G48" i="5"/>
  <c r="F48" i="5"/>
  <c r="D48" i="5"/>
  <c r="J46" i="4"/>
  <c r="E47" i="4"/>
  <c r="M47" i="4"/>
  <c r="H48" i="4"/>
  <c r="C49" i="4"/>
  <c r="K49" i="4"/>
  <c r="A51" i="4"/>
  <c r="I51" i="4"/>
  <c r="G53" i="4"/>
  <c r="J56" i="5"/>
  <c r="I56" i="5"/>
  <c r="A56" i="5"/>
  <c r="H56" i="5"/>
  <c r="G56" i="5"/>
  <c r="F56" i="5"/>
  <c r="D56" i="5"/>
  <c r="J54" i="4"/>
  <c r="E55" i="4"/>
  <c r="M55" i="4"/>
  <c r="H56" i="4"/>
  <c r="C57" i="4"/>
  <c r="K57" i="4"/>
  <c r="A59" i="4"/>
  <c r="I59" i="4"/>
  <c r="G61" i="4"/>
  <c r="A50" i="5"/>
  <c r="E56" i="5"/>
  <c r="G59" i="5"/>
  <c r="K22" i="6"/>
  <c r="C22" i="6"/>
  <c r="G22" i="6"/>
  <c r="J22" i="6"/>
  <c r="I22" i="6"/>
  <c r="H22" i="6"/>
  <c r="F22" i="6"/>
  <c r="B22" i="6"/>
  <c r="H29" i="6"/>
  <c r="G29" i="6"/>
  <c r="L29" i="6"/>
  <c r="D29" i="6"/>
  <c r="K29" i="6"/>
  <c r="C29" i="6"/>
  <c r="J29" i="6"/>
  <c r="I29" i="6"/>
  <c r="F29" i="6"/>
  <c r="B29" i="6"/>
  <c r="T29" i="6" s="1"/>
  <c r="G42" i="6"/>
  <c r="F42" i="6"/>
  <c r="L42" i="6"/>
  <c r="D42" i="6"/>
  <c r="K42" i="6"/>
  <c r="C42" i="6"/>
  <c r="J42" i="6"/>
  <c r="B42" i="6"/>
  <c r="I42" i="6"/>
  <c r="H42" i="6"/>
  <c r="D49" i="4"/>
  <c r="L49" i="4"/>
  <c r="H53" i="5"/>
  <c r="G53" i="5"/>
  <c r="F53" i="5"/>
  <c r="E53" i="5"/>
  <c r="D53" i="5"/>
  <c r="J53" i="5"/>
  <c r="J51" i="4"/>
  <c r="H53" i="4"/>
  <c r="F55" i="4"/>
  <c r="D57" i="4"/>
  <c r="L57" i="4"/>
  <c r="H61" i="5"/>
  <c r="G61" i="5"/>
  <c r="F61" i="5"/>
  <c r="E61" i="5"/>
  <c r="D61" i="5"/>
  <c r="J61" i="5"/>
  <c r="J59" i="4"/>
  <c r="H61" i="4"/>
  <c r="I53" i="5"/>
  <c r="A57" i="5"/>
  <c r="E63" i="5"/>
  <c r="D22" i="6"/>
  <c r="G47" i="4"/>
  <c r="F50" i="5"/>
  <c r="E50" i="5"/>
  <c r="D50" i="5"/>
  <c r="C50" i="5"/>
  <c r="J50" i="5"/>
  <c r="H50" i="5"/>
  <c r="J48" i="4"/>
  <c r="E49" i="4"/>
  <c r="M49" i="4"/>
  <c r="C51" i="4"/>
  <c r="K51" i="4"/>
  <c r="A53" i="4"/>
  <c r="I53" i="4"/>
  <c r="G55" i="4"/>
  <c r="F58" i="5"/>
  <c r="E58" i="5"/>
  <c r="D58" i="5"/>
  <c r="C58" i="5"/>
  <c r="J58" i="5"/>
  <c r="H58" i="5"/>
  <c r="J56" i="4"/>
  <c r="E57" i="4"/>
  <c r="M57" i="4"/>
  <c r="C59" i="4"/>
  <c r="K59" i="4"/>
  <c r="A61" i="4"/>
  <c r="I61" i="4"/>
  <c r="I50" i="5"/>
  <c r="C57" i="5"/>
  <c r="F49" i="4"/>
  <c r="D55" i="5"/>
  <c r="C55" i="5"/>
  <c r="J55" i="5"/>
  <c r="I55" i="5"/>
  <c r="A55" i="5"/>
  <c r="H55" i="5"/>
  <c r="F55" i="5"/>
  <c r="J53" i="4"/>
  <c r="F57" i="4"/>
  <c r="D63" i="5"/>
  <c r="C63" i="5"/>
  <c r="J63" i="5"/>
  <c r="I63" i="5"/>
  <c r="A63" i="5"/>
  <c r="H63" i="5"/>
  <c r="F63" i="5"/>
  <c r="J61" i="4"/>
  <c r="C48" i="5"/>
  <c r="I57" i="5"/>
  <c r="A61" i="5"/>
  <c r="F23" i="6"/>
  <c r="J23" i="6"/>
  <c r="B23" i="6"/>
  <c r="T23" i="6" s="1"/>
  <c r="H23" i="6"/>
  <c r="G23" i="6"/>
  <c r="D23" i="6"/>
  <c r="C23" i="6"/>
  <c r="K23" i="6"/>
  <c r="I14" i="6"/>
  <c r="K14" i="6" s="1"/>
  <c r="F9" i="6"/>
  <c r="H9" i="6" s="1"/>
  <c r="I13" i="6"/>
  <c r="K13" i="6" s="1"/>
  <c r="F8" i="6"/>
  <c r="I16" i="6"/>
  <c r="K16" i="6" s="1"/>
  <c r="D27" i="6"/>
  <c r="K30" i="6"/>
  <c r="C30" i="6"/>
  <c r="J30" i="6"/>
  <c r="B30" i="6"/>
  <c r="G30" i="6"/>
  <c r="F30" i="6"/>
  <c r="G34" i="6"/>
  <c r="F34" i="6"/>
  <c r="K34" i="6"/>
  <c r="C34" i="6"/>
  <c r="J34" i="6"/>
  <c r="B34" i="6"/>
  <c r="B6" i="7"/>
  <c r="G6" i="7"/>
  <c r="F6" i="7"/>
  <c r="F27" i="7"/>
  <c r="D27" i="7"/>
  <c r="C27" i="7"/>
  <c r="B27" i="7"/>
  <c r="J27" i="7"/>
  <c r="K27" i="7"/>
  <c r="G27" i="7"/>
  <c r="F12" i="6"/>
  <c r="H12" i="6" s="1"/>
  <c r="I18" i="6"/>
  <c r="K18" i="6" s="1"/>
  <c r="F19" i="6"/>
  <c r="H26" i="6"/>
  <c r="H27" i="6"/>
  <c r="G13" i="7"/>
  <c r="F13" i="7"/>
  <c r="I9" i="6"/>
  <c r="F7" i="6"/>
  <c r="I8" i="6"/>
  <c r="I26" i="6"/>
  <c r="I27" i="6"/>
  <c r="H30" i="6"/>
  <c r="H34" i="6"/>
  <c r="H61" i="6"/>
  <c r="G61" i="6"/>
  <c r="F61" i="6"/>
  <c r="L61" i="6"/>
  <c r="D61" i="6"/>
  <c r="K61" i="6"/>
  <c r="C61" i="6"/>
  <c r="B13" i="7"/>
  <c r="B9" i="6"/>
  <c r="J9" i="6"/>
  <c r="G7" i="6"/>
  <c r="B8" i="6"/>
  <c r="E8" i="6" s="1"/>
  <c r="J8" i="6"/>
  <c r="L26" i="6"/>
  <c r="K27" i="6"/>
  <c r="I30" i="6"/>
  <c r="I34" i="6"/>
  <c r="G50" i="6"/>
  <c r="F50" i="6"/>
  <c r="L50" i="6"/>
  <c r="D50" i="6"/>
  <c r="K50" i="6"/>
  <c r="C50" i="6"/>
  <c r="J50" i="6"/>
  <c r="B50" i="6"/>
  <c r="B61" i="6"/>
  <c r="I20" i="6"/>
  <c r="L25" i="6"/>
  <c r="D25" i="6"/>
  <c r="H25" i="6"/>
  <c r="G25" i="6"/>
  <c r="T25" i="6"/>
  <c r="L30" i="6"/>
  <c r="L34" i="6"/>
  <c r="I61" i="6"/>
  <c r="G26" i="6"/>
  <c r="K26" i="6"/>
  <c r="C26" i="6"/>
  <c r="J26" i="6"/>
  <c r="B26" i="6"/>
  <c r="J27" i="6"/>
  <c r="B27" i="6"/>
  <c r="T27" i="6" s="1"/>
  <c r="F27" i="6"/>
  <c r="H45" i="6"/>
  <c r="G45" i="6"/>
  <c r="F45" i="6"/>
  <c r="L45" i="6"/>
  <c r="D45" i="6"/>
  <c r="K45" i="6"/>
  <c r="C45" i="6"/>
  <c r="G58" i="6"/>
  <c r="F58" i="6"/>
  <c r="L58" i="6"/>
  <c r="D58" i="6"/>
  <c r="K58" i="6"/>
  <c r="C58" i="6"/>
  <c r="J58" i="6"/>
  <c r="B58" i="6"/>
  <c r="J61" i="6"/>
  <c r="F35" i="7"/>
  <c r="D35" i="7"/>
  <c r="C35" i="7"/>
  <c r="B35" i="7"/>
  <c r="J35" i="7"/>
  <c r="K35" i="7"/>
  <c r="J65" i="7"/>
  <c r="G65" i="7"/>
  <c r="F65" i="7"/>
  <c r="D65" i="7"/>
  <c r="B65" i="7"/>
  <c r="K65" i="7"/>
  <c r="I31" i="6"/>
  <c r="F38" i="6"/>
  <c r="I39" i="6"/>
  <c r="G41" i="6"/>
  <c r="F46" i="6"/>
  <c r="I47" i="6"/>
  <c r="D48" i="6"/>
  <c r="L48" i="6"/>
  <c r="G49" i="6"/>
  <c r="F54" i="6"/>
  <c r="I55" i="6"/>
  <c r="D56" i="6"/>
  <c r="L56" i="6"/>
  <c r="G57" i="6"/>
  <c r="F62" i="6"/>
  <c r="I63" i="6"/>
  <c r="D64" i="6"/>
  <c r="L64" i="6"/>
  <c r="H65" i="6"/>
  <c r="F11" i="7"/>
  <c r="J57" i="7"/>
  <c r="G57" i="7"/>
  <c r="F57" i="7"/>
  <c r="D57" i="7"/>
  <c r="B57" i="7"/>
  <c r="I21" i="6"/>
  <c r="K21" i="6" s="1"/>
  <c r="B31" i="6"/>
  <c r="J31" i="6"/>
  <c r="F35" i="6"/>
  <c r="I36" i="6"/>
  <c r="G38" i="6"/>
  <c r="B39" i="6"/>
  <c r="J39" i="6"/>
  <c r="H41" i="6"/>
  <c r="F43" i="6"/>
  <c r="I44" i="6"/>
  <c r="G46" i="6"/>
  <c r="B47" i="6"/>
  <c r="J47" i="6"/>
  <c r="H49" i="6"/>
  <c r="F51" i="6"/>
  <c r="G54" i="6"/>
  <c r="B55" i="6"/>
  <c r="J55" i="6"/>
  <c r="H57" i="6"/>
  <c r="F59" i="6"/>
  <c r="G62" i="6"/>
  <c r="B63" i="6"/>
  <c r="T56" i="6" s="1"/>
  <c r="J63" i="6"/>
  <c r="B23" i="7"/>
  <c r="G23" i="7"/>
  <c r="F23" i="7"/>
  <c r="D23" i="7"/>
  <c r="J49" i="7"/>
  <c r="G49" i="7"/>
  <c r="F49" i="7"/>
  <c r="D49" i="7"/>
  <c r="B49" i="7"/>
  <c r="C57" i="7"/>
  <c r="I41" i="6"/>
  <c r="I49" i="6"/>
  <c r="H54" i="6"/>
  <c r="I57" i="6"/>
  <c r="H62" i="6"/>
  <c r="J65" i="6"/>
  <c r="B65" i="6"/>
  <c r="L65" i="6"/>
  <c r="K65" i="6"/>
  <c r="G8" i="7"/>
  <c r="J25" i="7"/>
  <c r="F25" i="7"/>
  <c r="D25" i="7"/>
  <c r="B25" i="7"/>
  <c r="J41" i="7"/>
  <c r="G41" i="7"/>
  <c r="F41" i="7"/>
  <c r="D41" i="7"/>
  <c r="B41" i="7"/>
  <c r="F59" i="7"/>
  <c r="D59" i="7"/>
  <c r="C59" i="7"/>
  <c r="B59" i="7"/>
  <c r="J59" i="7"/>
  <c r="I38" i="6"/>
  <c r="B41" i="6"/>
  <c r="T41" i="6" s="1"/>
  <c r="J41" i="6"/>
  <c r="I46" i="6"/>
  <c r="B49" i="6"/>
  <c r="T49" i="6" s="1"/>
  <c r="J49" i="6"/>
  <c r="I54" i="6"/>
  <c r="B57" i="6"/>
  <c r="J57" i="6"/>
  <c r="I62" i="6"/>
  <c r="C65" i="6"/>
  <c r="B8" i="7"/>
  <c r="F16" i="7"/>
  <c r="B16" i="7"/>
  <c r="C25" i="7"/>
  <c r="J33" i="7"/>
  <c r="G33" i="7"/>
  <c r="F33" i="7"/>
  <c r="D33" i="7"/>
  <c r="B33" i="7"/>
  <c r="C41" i="7"/>
  <c r="K49" i="7"/>
  <c r="G59" i="7"/>
  <c r="I35" i="6"/>
  <c r="B38" i="6"/>
  <c r="J38" i="6"/>
  <c r="C41" i="6"/>
  <c r="K41" i="6"/>
  <c r="I43" i="6"/>
  <c r="B46" i="6"/>
  <c r="T46" i="6" s="1"/>
  <c r="J46" i="6"/>
  <c r="C49" i="6"/>
  <c r="K49" i="6"/>
  <c r="I51" i="6"/>
  <c r="B54" i="6"/>
  <c r="J54" i="6"/>
  <c r="C57" i="6"/>
  <c r="K57" i="6"/>
  <c r="I59" i="6"/>
  <c r="B62" i="6"/>
  <c r="J62" i="6"/>
  <c r="D65" i="6"/>
  <c r="G11" i="7"/>
  <c r="G25" i="7"/>
  <c r="K41" i="7"/>
  <c r="F51" i="7"/>
  <c r="D51" i="7"/>
  <c r="C51" i="7"/>
  <c r="B51" i="7"/>
  <c r="J51" i="7"/>
  <c r="K59" i="7"/>
  <c r="B35" i="6"/>
  <c r="T35" i="6" s="1"/>
  <c r="C38" i="6"/>
  <c r="D41" i="6"/>
  <c r="B43" i="6"/>
  <c r="C46" i="6"/>
  <c r="D49" i="6"/>
  <c r="B51" i="6"/>
  <c r="C54" i="6"/>
  <c r="D57" i="6"/>
  <c r="B59" i="6"/>
  <c r="C62" i="6"/>
  <c r="B11" i="7"/>
  <c r="F8" i="7"/>
  <c r="K25" i="7"/>
  <c r="F43" i="7"/>
  <c r="D43" i="7"/>
  <c r="C43" i="7"/>
  <c r="B43" i="7"/>
  <c r="J43" i="7"/>
  <c r="G51" i="7"/>
  <c r="G12" i="7"/>
  <c r="G19" i="7"/>
  <c r="G14" i="7"/>
  <c r="F20" i="7"/>
  <c r="C24" i="7"/>
  <c r="G28" i="7"/>
  <c r="F29" i="7"/>
  <c r="D31" i="7"/>
  <c r="C32" i="7"/>
  <c r="G36" i="7"/>
  <c r="F37" i="7"/>
  <c r="D39" i="7"/>
  <c r="C40" i="7"/>
  <c r="G44" i="7"/>
  <c r="F45" i="7"/>
  <c r="D47" i="7"/>
  <c r="C48" i="7"/>
  <c r="G52" i="7"/>
  <c r="F53" i="7"/>
  <c r="D55" i="7"/>
  <c r="C56" i="7"/>
  <c r="K58" i="7"/>
  <c r="G60" i="7"/>
  <c r="F61" i="7"/>
  <c r="D63" i="7"/>
  <c r="C64" i="7"/>
  <c r="G22" i="7"/>
  <c r="J29" i="7"/>
  <c r="G30" i="7"/>
  <c r="F31" i="7"/>
  <c r="J37" i="7"/>
  <c r="G38" i="7"/>
  <c r="F39" i="7"/>
  <c r="J45" i="7"/>
  <c r="G46" i="7"/>
  <c r="F47" i="7"/>
  <c r="J53" i="7"/>
  <c r="G54" i="7"/>
  <c r="F55" i="7"/>
  <c r="J61" i="7"/>
  <c r="G62" i="7"/>
  <c r="F63" i="7"/>
  <c r="B19" i="7"/>
  <c r="E19" i="7" s="1"/>
  <c r="F10" i="7"/>
  <c r="F24" i="7"/>
  <c r="J30" i="7"/>
  <c r="G31" i="7"/>
  <c r="F32" i="7"/>
  <c r="J38" i="7"/>
  <c r="G39" i="7"/>
  <c r="F40" i="7"/>
  <c r="J46" i="7"/>
  <c r="G47" i="7"/>
  <c r="F48" i="7"/>
  <c r="J54" i="7"/>
  <c r="G55" i="7"/>
  <c r="F56" i="7"/>
  <c r="J62" i="7"/>
  <c r="G63" i="7"/>
  <c r="F64" i="7"/>
  <c r="K30" i="7"/>
  <c r="J31" i="7"/>
  <c r="K38" i="7"/>
  <c r="J39" i="7"/>
  <c r="K46" i="7"/>
  <c r="J47" i="7"/>
  <c r="K54" i="7"/>
  <c r="J55" i="7"/>
  <c r="K62" i="7"/>
  <c r="J63" i="7"/>
  <c r="K31" i="7"/>
  <c r="K39" i="7"/>
  <c r="K47" i="7"/>
  <c r="K55" i="7"/>
  <c r="K63" i="7"/>
  <c r="J22" i="7" l="1"/>
  <c r="E21" i="7"/>
  <c r="T48" i="6"/>
  <c r="T24" i="6"/>
  <c r="T40" i="6"/>
  <c r="H6" i="6"/>
  <c r="T39" i="6"/>
  <c r="T50" i="6"/>
  <c r="T51" i="6"/>
  <c r="T54" i="6"/>
  <c r="T38" i="6"/>
  <c r="T32" i="6"/>
  <c r="T26" i="6"/>
  <c r="H22" i="8"/>
  <c r="T43" i="6"/>
  <c r="T47" i="6"/>
  <c r="T58" i="6"/>
  <c r="T22" i="6"/>
  <c r="T37" i="6"/>
  <c r="T55" i="6"/>
  <c r="T57" i="6"/>
  <c r="T36" i="6"/>
  <c r="T34" i="6"/>
  <c r="T30" i="6"/>
  <c r="T52" i="6"/>
  <c r="T31" i="6"/>
  <c r="T42" i="6"/>
  <c r="T28" i="6"/>
  <c r="T44" i="6"/>
  <c r="H21" i="6"/>
  <c r="H8" i="6"/>
  <c r="K20" i="6"/>
  <c r="H15" i="6"/>
  <c r="H7" i="6"/>
  <c r="M14" i="4"/>
  <c r="K11" i="6"/>
  <c r="H11" i="6"/>
  <c r="H28" i="8"/>
  <c r="M12" i="4"/>
  <c r="B17" i="8" s="1"/>
  <c r="B15" i="8"/>
  <c r="H29" i="8"/>
  <c r="H30" i="8"/>
  <c r="H24" i="8"/>
  <c r="J23" i="7"/>
  <c r="H27" i="8"/>
  <c r="H26" i="8"/>
  <c r="H21" i="8"/>
  <c r="H25" i="8"/>
  <c r="H23" i="8"/>
  <c r="K17" i="6"/>
  <c r="L9" i="6"/>
  <c r="K8" i="6"/>
  <c r="H19" i="6"/>
  <c r="M7" i="4"/>
  <c r="H6" i="4"/>
  <c r="U58" i="3"/>
  <c r="T58" i="3"/>
  <c r="U26" i="3"/>
  <c r="T26" i="3"/>
  <c r="U43" i="3"/>
  <c r="T43" i="3"/>
  <c r="U42" i="3"/>
  <c r="T42" i="3"/>
  <c r="U10" i="3"/>
  <c r="T10" i="3"/>
  <c r="U63" i="3"/>
  <c r="T63" i="3"/>
  <c r="T73" i="3"/>
  <c r="U73" i="3"/>
  <c r="T4" i="3"/>
  <c r="U4" i="3"/>
  <c r="T62" i="3"/>
  <c r="U62" i="3"/>
  <c r="U45" i="3"/>
  <c r="T45" i="3"/>
  <c r="T2" i="3"/>
  <c r="U2" i="3"/>
  <c r="T53" i="3"/>
  <c r="U53" i="3"/>
  <c r="T21" i="3"/>
  <c r="U21" i="3"/>
  <c r="T52" i="3"/>
  <c r="U52" i="3"/>
  <c r="M11" i="4"/>
  <c r="H12" i="5"/>
  <c r="T15" i="3"/>
  <c r="U15" i="3"/>
  <c r="F14" i="5"/>
  <c r="H14" i="5" s="1"/>
  <c r="F17" i="4"/>
  <c r="H17" i="4" s="1"/>
  <c r="F16" i="5"/>
  <c r="H16" i="5" s="1"/>
  <c r="L6" i="4"/>
  <c r="M6" i="4" s="1"/>
  <c r="L4" i="4"/>
  <c r="M4" i="4" s="1"/>
  <c r="F9" i="4"/>
  <c r="P19" i="3"/>
  <c r="P41" i="3"/>
  <c r="U304" i="3"/>
  <c r="T304" i="3"/>
  <c r="T501" i="3"/>
  <c r="U501" i="3"/>
  <c r="T130" i="3"/>
  <c r="U130" i="3"/>
  <c r="T66" i="3"/>
  <c r="U66" i="3"/>
  <c r="T307" i="3"/>
  <c r="U307" i="3"/>
  <c r="T228" i="3"/>
  <c r="U228" i="3"/>
  <c r="S9" i="3"/>
  <c r="U428" i="3"/>
  <c r="T428" i="3"/>
  <c r="U372" i="3"/>
  <c r="T372" i="3"/>
  <c r="U37" i="3"/>
  <c r="P34" i="3"/>
  <c r="P3" i="3"/>
  <c r="D3" i="4" s="1"/>
  <c r="U365" i="3"/>
  <c r="T365" i="3"/>
  <c r="U61" i="3"/>
  <c r="K15" i="4"/>
  <c r="T355" i="3"/>
  <c r="U355" i="3"/>
  <c r="U85" i="3"/>
  <c r="T85" i="3"/>
  <c r="G10" i="4"/>
  <c r="L15" i="6"/>
  <c r="F4" i="4"/>
  <c r="H4" i="4" s="1"/>
  <c r="G9" i="4"/>
  <c r="G3" i="4"/>
  <c r="H3" i="4" s="1"/>
  <c r="T71" i="3"/>
  <c r="K10" i="4"/>
  <c r="F7" i="4"/>
  <c r="H7" i="4" s="1"/>
  <c r="G13" i="4"/>
  <c r="U445" i="3"/>
  <c r="T445" i="3"/>
  <c r="T331" i="3"/>
  <c r="U331" i="3"/>
  <c r="T226" i="3"/>
  <c r="U226" i="3"/>
  <c r="T354" i="3"/>
  <c r="U354" i="3"/>
  <c r="U265" i="3"/>
  <c r="T265" i="3"/>
  <c r="T20" i="3"/>
  <c r="U20" i="3"/>
  <c r="U13" i="3"/>
  <c r="T154" i="3"/>
  <c r="U154" i="3"/>
  <c r="S7" i="3"/>
  <c r="T104" i="3"/>
  <c r="U104" i="3"/>
  <c r="U81" i="3"/>
  <c r="T81" i="3"/>
  <c r="S65" i="3"/>
  <c r="L19" i="6"/>
  <c r="G16" i="4"/>
  <c r="K5" i="4"/>
  <c r="T452" i="3"/>
  <c r="U452" i="3"/>
  <c r="T210" i="3"/>
  <c r="U210" i="3"/>
  <c r="U389" i="3"/>
  <c r="T389" i="3"/>
  <c r="T88" i="3"/>
  <c r="U88" i="3"/>
  <c r="U212" i="3"/>
  <c r="T212" i="3"/>
  <c r="U412" i="3"/>
  <c r="T412" i="3"/>
  <c r="T240" i="3"/>
  <c r="U240" i="3"/>
  <c r="U68" i="3"/>
  <c r="S33" i="3"/>
  <c r="T36" i="3"/>
  <c r="U36" i="3"/>
  <c r="U396" i="3"/>
  <c r="T396" i="3"/>
  <c r="S50" i="3"/>
  <c r="U50" i="3" s="1"/>
  <c r="S16" i="3"/>
  <c r="J17" i="7"/>
  <c r="H10" i="5"/>
  <c r="P11" i="3"/>
  <c r="L2" i="4"/>
  <c r="M2" i="4" s="1"/>
  <c r="U493" i="3"/>
  <c r="T493" i="3"/>
  <c r="U245" i="3"/>
  <c r="T245" i="3"/>
  <c r="T388" i="3"/>
  <c r="U388" i="3"/>
  <c r="T239" i="3"/>
  <c r="U239" i="3"/>
  <c r="T378" i="3"/>
  <c r="U378" i="3"/>
  <c r="T12" i="3"/>
  <c r="U12" i="3"/>
  <c r="T186" i="3"/>
  <c r="U186" i="3"/>
  <c r="U137" i="3"/>
  <c r="T137" i="3"/>
  <c r="T403" i="3"/>
  <c r="U403" i="3"/>
  <c r="U105" i="3"/>
  <c r="T105" i="3"/>
  <c r="L3" i="4"/>
  <c r="M3" i="4" s="1"/>
  <c r="T363" i="3"/>
  <c r="U363" i="3"/>
  <c r="T177" i="3"/>
  <c r="U177" i="3"/>
  <c r="J13" i="7"/>
  <c r="H17" i="6"/>
  <c r="T29" i="3"/>
  <c r="F14" i="4"/>
  <c r="H14" i="4" s="1"/>
  <c r="L8" i="4"/>
  <c r="U325" i="3"/>
  <c r="T325" i="3"/>
  <c r="U356" i="3"/>
  <c r="T356" i="3"/>
  <c r="T436" i="3"/>
  <c r="U436" i="3"/>
  <c r="T202" i="3"/>
  <c r="U202" i="3"/>
  <c r="U273" i="3"/>
  <c r="T273" i="3"/>
  <c r="T193" i="3"/>
  <c r="U193" i="3"/>
  <c r="T114" i="3"/>
  <c r="U114" i="3"/>
  <c r="U47" i="3"/>
  <c r="T47" i="3"/>
  <c r="U180" i="3"/>
  <c r="T180" i="3"/>
  <c r="U121" i="3"/>
  <c r="T121" i="3"/>
  <c r="U332" i="3"/>
  <c r="T332" i="3"/>
  <c r="T218" i="3"/>
  <c r="U218" i="3"/>
  <c r="T44" i="3"/>
  <c r="U44" i="3"/>
  <c r="U7" i="3"/>
  <c r="T7" i="3"/>
  <c r="U55" i="3"/>
  <c r="T55" i="3"/>
  <c r="S18" i="3"/>
  <c r="U18" i="3" s="1"/>
  <c r="U281" i="3"/>
  <c r="T281" i="3"/>
  <c r="U74" i="3"/>
  <c r="F6" i="5"/>
  <c r="H6" i="5" s="1"/>
  <c r="L21" i="6"/>
  <c r="L10" i="4"/>
  <c r="T340" i="3"/>
  <c r="U340" i="3"/>
  <c r="T257" i="3"/>
  <c r="U257" i="3"/>
  <c r="T233" i="3"/>
  <c r="U233" i="3"/>
  <c r="T82" i="3"/>
  <c r="U82" i="3"/>
  <c r="F16" i="4"/>
  <c r="T323" i="3"/>
  <c r="U323" i="3"/>
  <c r="U380" i="3"/>
  <c r="T380" i="3"/>
  <c r="T298" i="3"/>
  <c r="U298" i="3"/>
  <c r="U282" i="3"/>
  <c r="T282" i="3"/>
  <c r="T113" i="3"/>
  <c r="U113" i="3"/>
  <c r="H7" i="5"/>
  <c r="H18" i="5"/>
  <c r="F5" i="4"/>
  <c r="H5" i="4" s="1"/>
  <c r="L5" i="4"/>
  <c r="G8" i="5"/>
  <c r="H8" i="5" s="1"/>
  <c r="F17" i="5"/>
  <c r="F9" i="5"/>
  <c r="H9" i="5" s="1"/>
  <c r="M17" i="4"/>
  <c r="G12" i="4"/>
  <c r="S3" i="3"/>
  <c r="G8" i="4"/>
  <c r="H8" i="4" s="1"/>
  <c r="J7" i="7"/>
  <c r="K16" i="4"/>
  <c r="M16" i="4" s="1"/>
  <c r="U461" i="3"/>
  <c r="T461" i="3"/>
  <c r="T434" i="3"/>
  <c r="U434" i="3"/>
  <c r="U299" i="3"/>
  <c r="T299" i="3"/>
  <c r="U494" i="3"/>
  <c r="T494" i="3"/>
  <c r="T418" i="3"/>
  <c r="U418" i="3"/>
  <c r="T370" i="3"/>
  <c r="U370" i="3"/>
  <c r="U404" i="3"/>
  <c r="T404" i="3"/>
  <c r="T379" i="3"/>
  <c r="U379" i="3"/>
  <c r="T330" i="3"/>
  <c r="U330" i="3"/>
  <c r="U252" i="3"/>
  <c r="T252" i="3"/>
  <c r="U31" i="3"/>
  <c r="T31" i="3"/>
  <c r="T128" i="3"/>
  <c r="U128" i="3"/>
  <c r="T122" i="3"/>
  <c r="U122" i="3"/>
  <c r="T80" i="3"/>
  <c r="U80" i="3"/>
  <c r="G11" i="4"/>
  <c r="F13" i="4"/>
  <c r="H13" i="4" s="1"/>
  <c r="S6" i="3"/>
  <c r="F11" i="4"/>
  <c r="H11" i="4" s="1"/>
  <c r="U244" i="3"/>
  <c r="T244" i="3"/>
  <c r="H2" i="4"/>
  <c r="M15" i="4"/>
  <c r="K9" i="6"/>
  <c r="J10" i="7"/>
  <c r="J19" i="7"/>
  <c r="G17" i="5"/>
  <c r="F10" i="4"/>
  <c r="H10" i="4" s="1"/>
  <c r="F4" i="5"/>
  <c r="H4" i="5" s="1"/>
  <c r="K15" i="6"/>
  <c r="S72" i="3"/>
  <c r="L7" i="6"/>
  <c r="T460" i="3"/>
  <c r="U460" i="3"/>
  <c r="T348" i="3"/>
  <c r="U348" i="3"/>
  <c r="T250" i="3"/>
  <c r="U250" i="3"/>
  <c r="U317" i="3"/>
  <c r="T317" i="3"/>
  <c r="U476" i="3"/>
  <c r="T476" i="3"/>
  <c r="T161" i="3"/>
  <c r="U161" i="3"/>
  <c r="U39" i="3"/>
  <c r="T39" i="3"/>
  <c r="U308" i="3"/>
  <c r="T308" i="3"/>
  <c r="U405" i="3"/>
  <c r="T405" i="3"/>
  <c r="T146" i="3"/>
  <c r="U146" i="3"/>
  <c r="U225" i="3"/>
  <c r="T225" i="3"/>
  <c r="T60" i="3"/>
  <c r="U60" i="3"/>
  <c r="K8" i="4"/>
  <c r="M8" i="4" s="1"/>
  <c r="S11" i="3"/>
  <c r="U11" i="3" s="1"/>
  <c r="T185" i="3"/>
  <c r="U185" i="3"/>
  <c r="L6" i="6"/>
  <c r="J14" i="7"/>
  <c r="L17" i="6"/>
  <c r="J20" i="7"/>
  <c r="L10" i="6"/>
  <c r="L20" i="6"/>
  <c r="J8" i="7"/>
  <c r="J6" i="7"/>
  <c r="L18" i="6"/>
  <c r="J9" i="7"/>
  <c r="L14" i="6"/>
  <c r="L11" i="6"/>
  <c r="J16" i="7"/>
  <c r="L12" i="6"/>
  <c r="L8" i="6"/>
  <c r="J15" i="7"/>
  <c r="J18" i="7"/>
  <c r="J21" i="7"/>
  <c r="L13" i="6"/>
  <c r="J12" i="7"/>
  <c r="L16" i="6"/>
  <c r="J11" i="7"/>
  <c r="F11" i="5"/>
  <c r="D11" i="5"/>
  <c r="C11" i="5"/>
  <c r="G11" i="5"/>
  <c r="U456" i="3"/>
  <c r="T456" i="3"/>
  <c r="T142" i="3"/>
  <c r="U142" i="3"/>
  <c r="U163" i="3"/>
  <c r="T163" i="3"/>
  <c r="U75" i="3"/>
  <c r="T75" i="3"/>
  <c r="T46" i="3"/>
  <c r="U46" i="3"/>
  <c r="U123" i="3"/>
  <c r="T123" i="3"/>
  <c r="U179" i="3"/>
  <c r="T179" i="3"/>
  <c r="U56" i="3"/>
  <c r="T56" i="3"/>
  <c r="U24" i="3"/>
  <c r="T24" i="3"/>
  <c r="U320" i="3"/>
  <c r="T320" i="3"/>
  <c r="U41" i="3"/>
  <c r="T41" i="3"/>
  <c r="T230" i="3"/>
  <c r="U230" i="3"/>
  <c r="T166" i="3"/>
  <c r="U166" i="3"/>
  <c r="H45" i="5"/>
  <c r="G45" i="5"/>
  <c r="F45" i="5"/>
  <c r="E45" i="5"/>
  <c r="D45" i="5"/>
  <c r="J45" i="5"/>
  <c r="A45" i="5"/>
  <c r="I45" i="5"/>
  <c r="C45" i="5"/>
  <c r="U487" i="3"/>
  <c r="T487" i="3"/>
  <c r="U446" i="3"/>
  <c r="T446" i="3"/>
  <c r="U414" i="3"/>
  <c r="T414" i="3"/>
  <c r="U382" i="3"/>
  <c r="T382" i="3"/>
  <c r="U350" i="3"/>
  <c r="T350" i="3"/>
  <c r="U383" i="3"/>
  <c r="T383" i="3"/>
  <c r="U318" i="3"/>
  <c r="T318" i="3"/>
  <c r="U293" i="3"/>
  <c r="T293" i="3"/>
  <c r="U359" i="3"/>
  <c r="T359" i="3"/>
  <c r="F19" i="5"/>
  <c r="D19" i="5"/>
  <c r="C19" i="5"/>
  <c r="G19" i="5"/>
  <c r="U283" i="3"/>
  <c r="T283" i="3"/>
  <c r="C35" i="5"/>
  <c r="J35" i="5"/>
  <c r="I35" i="5"/>
  <c r="A35" i="5"/>
  <c r="H35" i="5"/>
  <c r="F35" i="5"/>
  <c r="E35" i="5"/>
  <c r="D35" i="5"/>
  <c r="G35" i="5"/>
  <c r="U296" i="3"/>
  <c r="T296" i="3"/>
  <c r="U392" i="3"/>
  <c r="T392" i="3"/>
  <c r="U375" i="3"/>
  <c r="T375" i="3"/>
  <c r="T289" i="3"/>
  <c r="U289" i="3"/>
  <c r="U284" i="3"/>
  <c r="T284" i="3"/>
  <c r="U480" i="3"/>
  <c r="T480" i="3"/>
  <c r="U416" i="3"/>
  <c r="T416" i="3"/>
  <c r="U295" i="3"/>
  <c r="T295" i="3"/>
  <c r="U276" i="3"/>
  <c r="T276" i="3"/>
  <c r="U171" i="3"/>
  <c r="T171" i="3"/>
  <c r="U149" i="3"/>
  <c r="T149" i="3"/>
  <c r="U131" i="3"/>
  <c r="T131" i="3"/>
  <c r="U95" i="3"/>
  <c r="T95" i="3"/>
  <c r="U294" i="3"/>
  <c r="T294" i="3"/>
  <c r="U17" i="3"/>
  <c r="T17" i="3"/>
  <c r="U155" i="3"/>
  <c r="T155" i="3"/>
  <c r="T30" i="3"/>
  <c r="U30" i="3"/>
  <c r="U358" i="3"/>
  <c r="T358" i="3"/>
  <c r="U352" i="3"/>
  <c r="T352" i="3"/>
  <c r="U319" i="3"/>
  <c r="T319" i="3"/>
  <c r="U384" i="3"/>
  <c r="T384" i="3"/>
  <c r="U335" i="3"/>
  <c r="T335" i="3"/>
  <c r="U463" i="3"/>
  <c r="T463" i="3"/>
  <c r="U360" i="3"/>
  <c r="T360" i="3"/>
  <c r="U448" i="3"/>
  <c r="T448" i="3"/>
  <c r="T256" i="3"/>
  <c r="U256" i="3"/>
  <c r="T499" i="3"/>
  <c r="U499" i="3"/>
  <c r="J52" i="5"/>
  <c r="I52" i="5"/>
  <c r="A52" i="5"/>
  <c r="H52" i="5"/>
  <c r="G52" i="5"/>
  <c r="F52" i="5"/>
  <c r="D52" i="5"/>
  <c r="C52" i="5"/>
  <c r="E52" i="5"/>
  <c r="F46" i="5"/>
  <c r="E46" i="5"/>
  <c r="D46" i="5"/>
  <c r="C46" i="5"/>
  <c r="J46" i="5"/>
  <c r="H46" i="5"/>
  <c r="I46" i="5"/>
  <c r="G46" i="5"/>
  <c r="A46" i="5"/>
  <c r="G5" i="5"/>
  <c r="F5" i="5"/>
  <c r="D5" i="5"/>
  <c r="C5" i="5"/>
  <c r="T470" i="3"/>
  <c r="U470" i="3"/>
  <c r="U440" i="3"/>
  <c r="T440" i="3"/>
  <c r="U343" i="3"/>
  <c r="T343" i="3"/>
  <c r="U439" i="3"/>
  <c r="T439" i="3"/>
  <c r="T222" i="3"/>
  <c r="U222" i="3"/>
  <c r="T158" i="3"/>
  <c r="U158" i="3"/>
  <c r="U70" i="3"/>
  <c r="T70" i="3"/>
  <c r="U147" i="3"/>
  <c r="T147" i="3"/>
  <c r="T78" i="3"/>
  <c r="U78" i="3"/>
  <c r="T57" i="3"/>
  <c r="U57" i="3"/>
  <c r="U59" i="3"/>
  <c r="I11" i="5" s="1"/>
  <c r="T59" i="3"/>
  <c r="T134" i="3"/>
  <c r="U134" i="3"/>
  <c r="T110" i="3"/>
  <c r="U110" i="3"/>
  <c r="T54" i="3"/>
  <c r="U54" i="3"/>
  <c r="T483" i="3"/>
  <c r="U483" i="3"/>
  <c r="D43" i="5"/>
  <c r="C43" i="5"/>
  <c r="J43" i="5"/>
  <c r="I43" i="5"/>
  <c r="A43" i="5"/>
  <c r="H43" i="5"/>
  <c r="F43" i="5"/>
  <c r="G43" i="5"/>
  <c r="E43" i="5"/>
  <c r="U422" i="3"/>
  <c r="T422" i="3"/>
  <c r="T290" i="3"/>
  <c r="U290" i="3"/>
  <c r="U277" i="3"/>
  <c r="T277" i="3"/>
  <c r="U238" i="3"/>
  <c r="T238" i="3"/>
  <c r="T305" i="3"/>
  <c r="U305" i="3"/>
  <c r="U109" i="3"/>
  <c r="T109" i="3"/>
  <c r="J60" i="5"/>
  <c r="I60" i="5"/>
  <c r="A60" i="5"/>
  <c r="H60" i="5"/>
  <c r="G60" i="5"/>
  <c r="F60" i="5"/>
  <c r="D60" i="5"/>
  <c r="E60" i="5"/>
  <c r="C60" i="5"/>
  <c r="U391" i="3"/>
  <c r="T391" i="3"/>
  <c r="U361" i="3"/>
  <c r="T361" i="3"/>
  <c r="U301" i="3"/>
  <c r="T301" i="3"/>
  <c r="U107" i="3"/>
  <c r="T107" i="3"/>
  <c r="U19" i="3"/>
  <c r="T19" i="3"/>
  <c r="G37" i="5"/>
  <c r="F37" i="5"/>
  <c r="E37" i="5"/>
  <c r="D37" i="5"/>
  <c r="J37" i="5"/>
  <c r="H37" i="5"/>
  <c r="C37" i="5"/>
  <c r="A37" i="5"/>
  <c r="I37" i="5"/>
  <c r="T6" i="3"/>
  <c r="U6" i="3"/>
  <c r="T475" i="3"/>
  <c r="U475" i="3"/>
  <c r="U472" i="3"/>
  <c r="T472" i="3"/>
  <c r="U438" i="3"/>
  <c r="T438" i="3"/>
  <c r="U406" i="3"/>
  <c r="T406" i="3"/>
  <c r="U374" i="3"/>
  <c r="T374" i="3"/>
  <c r="U342" i="3"/>
  <c r="T342" i="3"/>
  <c r="U478" i="3"/>
  <c r="T478" i="3"/>
  <c r="G29" i="5"/>
  <c r="J29" i="5"/>
  <c r="A29" i="5"/>
  <c r="I29" i="5"/>
  <c r="H29" i="5"/>
  <c r="F29" i="5"/>
  <c r="D29" i="5"/>
  <c r="E29" i="5"/>
  <c r="C29" i="5"/>
  <c r="U447" i="3"/>
  <c r="T447" i="3"/>
  <c r="U431" i="3"/>
  <c r="T431" i="3"/>
  <c r="U385" i="3"/>
  <c r="T385" i="3"/>
  <c r="U275" i="3"/>
  <c r="T275" i="3"/>
  <c r="U432" i="3"/>
  <c r="T432" i="3"/>
  <c r="T280" i="3"/>
  <c r="U280" i="3"/>
  <c r="U344" i="3"/>
  <c r="T344" i="3"/>
  <c r="U328" i="3"/>
  <c r="T328" i="3"/>
  <c r="T272" i="3"/>
  <c r="U272" i="3"/>
  <c r="U235" i="3"/>
  <c r="T235" i="3"/>
  <c r="U259" i="3"/>
  <c r="T259" i="3"/>
  <c r="T96" i="3"/>
  <c r="U96" i="3"/>
  <c r="U195" i="3"/>
  <c r="T195" i="3"/>
  <c r="U285" i="3"/>
  <c r="T285" i="3"/>
  <c r="U33" i="3"/>
  <c r="T33" i="3"/>
  <c r="U139" i="3"/>
  <c r="T139" i="3"/>
  <c r="U219" i="3"/>
  <c r="T219" i="3"/>
  <c r="T206" i="3"/>
  <c r="U206" i="3"/>
  <c r="T14" i="3"/>
  <c r="U14" i="3"/>
  <c r="U211" i="3"/>
  <c r="T211" i="3"/>
  <c r="U64" i="3"/>
  <c r="T64" i="3"/>
  <c r="U48" i="3"/>
  <c r="T48" i="3"/>
  <c r="U32" i="3"/>
  <c r="T32" i="3"/>
  <c r="U16" i="3"/>
  <c r="T16" i="3"/>
  <c r="U454" i="3"/>
  <c r="T454" i="3"/>
  <c r="U376" i="3"/>
  <c r="T376" i="3"/>
  <c r="U309" i="3"/>
  <c r="T309" i="3"/>
  <c r="U99" i="3"/>
  <c r="T99" i="3"/>
  <c r="U133" i="3"/>
  <c r="T133" i="3"/>
  <c r="G41" i="5"/>
  <c r="F41" i="5"/>
  <c r="E41" i="5"/>
  <c r="D41" i="5"/>
  <c r="J41" i="5"/>
  <c r="I41" i="5"/>
  <c r="H41" i="5"/>
  <c r="C41" i="5"/>
  <c r="A41" i="5"/>
  <c r="F62" i="5"/>
  <c r="E62" i="5"/>
  <c r="D62" i="5"/>
  <c r="C62" i="5"/>
  <c r="J62" i="5"/>
  <c r="H62" i="5"/>
  <c r="I62" i="5"/>
  <c r="G62" i="5"/>
  <c r="A62" i="5"/>
  <c r="U496" i="3"/>
  <c r="T496" i="3"/>
  <c r="F54" i="5"/>
  <c r="E54" i="5"/>
  <c r="D54" i="5"/>
  <c r="C54" i="5"/>
  <c r="J54" i="5"/>
  <c r="H54" i="5"/>
  <c r="G54" i="5"/>
  <c r="A54" i="5"/>
  <c r="I54" i="5"/>
  <c r="T482" i="3"/>
  <c r="U482" i="3"/>
  <c r="U327" i="3"/>
  <c r="T327" i="3"/>
  <c r="T313" i="3"/>
  <c r="U313" i="3"/>
  <c r="U415" i="3"/>
  <c r="T415" i="3"/>
  <c r="U310" i="3"/>
  <c r="T310" i="3"/>
  <c r="U449" i="3"/>
  <c r="T449" i="3"/>
  <c r="U399" i="3"/>
  <c r="T399" i="3"/>
  <c r="U246" i="3"/>
  <c r="T246" i="3"/>
  <c r="U465" i="3"/>
  <c r="T465" i="3"/>
  <c r="U433" i="3"/>
  <c r="T433" i="3"/>
  <c r="T288" i="3"/>
  <c r="U288" i="3"/>
  <c r="U103" i="3"/>
  <c r="T103" i="3"/>
  <c r="U67" i="3"/>
  <c r="T67" i="3"/>
  <c r="U267" i="3"/>
  <c r="T267" i="3"/>
  <c r="T182" i="3"/>
  <c r="U182" i="3"/>
  <c r="T91" i="3"/>
  <c r="U91" i="3"/>
  <c r="T9" i="3"/>
  <c r="U9" i="3"/>
  <c r="T243" i="3"/>
  <c r="U243" i="3"/>
  <c r="T38" i="3"/>
  <c r="U38" i="3"/>
  <c r="T198" i="3"/>
  <c r="U198" i="3"/>
  <c r="T118" i="3"/>
  <c r="U118" i="3"/>
  <c r="U455" i="3"/>
  <c r="T455" i="3"/>
  <c r="U495" i="3"/>
  <c r="T495" i="3"/>
  <c r="U407" i="3"/>
  <c r="T407" i="3"/>
  <c r="U227" i="3"/>
  <c r="T227" i="3"/>
  <c r="U27" i="3"/>
  <c r="T27" i="3"/>
  <c r="U40" i="3"/>
  <c r="T40" i="3"/>
  <c r="U8" i="3"/>
  <c r="T8" i="3"/>
  <c r="J44" i="5"/>
  <c r="I44" i="5"/>
  <c r="A44" i="5"/>
  <c r="H44" i="5"/>
  <c r="G44" i="5"/>
  <c r="F44" i="5"/>
  <c r="D44" i="5"/>
  <c r="E44" i="5"/>
  <c r="C44" i="5"/>
  <c r="T491" i="3"/>
  <c r="U491" i="3"/>
  <c r="D47" i="5"/>
  <c r="C47" i="5"/>
  <c r="J47" i="5"/>
  <c r="I47" i="5"/>
  <c r="A47" i="5"/>
  <c r="H47" i="5"/>
  <c r="F47" i="5"/>
  <c r="G47" i="5"/>
  <c r="E47" i="5"/>
  <c r="G13" i="5"/>
  <c r="F13" i="5"/>
  <c r="D13" i="5"/>
  <c r="C13" i="5"/>
  <c r="U462" i="3"/>
  <c r="T462" i="3"/>
  <c r="U430" i="3"/>
  <c r="T430" i="3"/>
  <c r="U398" i="3"/>
  <c r="T398" i="3"/>
  <c r="U366" i="3"/>
  <c r="T366" i="3"/>
  <c r="U334" i="3"/>
  <c r="T334" i="3"/>
  <c r="U400" i="3"/>
  <c r="T400" i="3"/>
  <c r="U326" i="3"/>
  <c r="T326" i="3"/>
  <c r="F27" i="5"/>
  <c r="E27" i="5"/>
  <c r="D27" i="5"/>
  <c r="C27" i="5"/>
  <c r="J27" i="5"/>
  <c r="H27" i="5"/>
  <c r="I27" i="5"/>
  <c r="G27" i="5"/>
  <c r="A27" i="5"/>
  <c r="U424" i="3"/>
  <c r="T424" i="3"/>
  <c r="U486" i="3"/>
  <c r="T486" i="3"/>
  <c r="U408" i="3"/>
  <c r="T408" i="3"/>
  <c r="U336" i="3"/>
  <c r="T336" i="3"/>
  <c r="T312" i="3"/>
  <c r="U312" i="3"/>
  <c r="T297" i="3"/>
  <c r="U297" i="3"/>
  <c r="U479" i="3"/>
  <c r="T479" i="3"/>
  <c r="U367" i="3"/>
  <c r="T367" i="3"/>
  <c r="U337" i="3"/>
  <c r="T337" i="3"/>
  <c r="J21" i="5"/>
  <c r="I21" i="5"/>
  <c r="A21" i="5"/>
  <c r="H21" i="5"/>
  <c r="G21" i="5"/>
  <c r="F21" i="5"/>
  <c r="D21" i="5"/>
  <c r="E21" i="5"/>
  <c r="C21" i="5"/>
  <c r="U423" i="3"/>
  <c r="T423" i="3"/>
  <c r="U251" i="3"/>
  <c r="T251" i="3"/>
  <c r="U203" i="3"/>
  <c r="T203" i="3"/>
  <c r="T126" i="3"/>
  <c r="U126" i="3"/>
  <c r="U117" i="3"/>
  <c r="T117" i="3"/>
  <c r="U49" i="3"/>
  <c r="T49" i="3"/>
  <c r="U51" i="3"/>
  <c r="T51" i="3"/>
  <c r="U86" i="3"/>
  <c r="T86" i="3"/>
  <c r="U390" i="3"/>
  <c r="T390" i="3"/>
  <c r="U409" i="3"/>
  <c r="T409" i="3"/>
  <c r="U65" i="3"/>
  <c r="T65" i="3"/>
  <c r="U393" i="3"/>
  <c r="T393" i="3"/>
  <c r="F42" i="5"/>
  <c r="E42" i="5"/>
  <c r="D42" i="5"/>
  <c r="C42" i="5"/>
  <c r="J42" i="5"/>
  <c r="H42" i="5"/>
  <c r="G42" i="5"/>
  <c r="I42" i="5"/>
  <c r="A42" i="5"/>
  <c r="U464" i="3"/>
  <c r="T464" i="3"/>
  <c r="T264" i="3"/>
  <c r="U264" i="3"/>
  <c r="U237" i="3"/>
  <c r="T237" i="3"/>
  <c r="T214" i="3"/>
  <c r="U214" i="3"/>
  <c r="U268" i="3"/>
  <c r="T268" i="3"/>
  <c r="U311" i="3"/>
  <c r="T311" i="3"/>
  <c r="U351" i="3"/>
  <c r="T351" i="3"/>
  <c r="U368" i="3"/>
  <c r="T368" i="3"/>
  <c r="T190" i="3"/>
  <c r="U190" i="3"/>
  <c r="U93" i="3"/>
  <c r="T93" i="3"/>
  <c r="T102" i="3"/>
  <c r="U102" i="3"/>
  <c r="U236" i="3"/>
  <c r="T236" i="3"/>
  <c r="U94" i="3"/>
  <c r="T94" i="3"/>
  <c r="U115" i="3"/>
  <c r="T115" i="3"/>
  <c r="U25" i="3"/>
  <c r="T25" i="3"/>
  <c r="U187" i="3"/>
  <c r="T187" i="3"/>
  <c r="T174" i="3"/>
  <c r="U174" i="3"/>
  <c r="T150" i="3"/>
  <c r="U150" i="3"/>
  <c r="T22" i="3"/>
  <c r="U22" i="3"/>
  <c r="U35" i="3"/>
  <c r="T35" i="3"/>
  <c r="U83" i="3"/>
  <c r="T83" i="3"/>
  <c r="E13" i="5" l="1"/>
  <c r="H13" i="5"/>
  <c r="H12" i="4"/>
  <c r="B14" i="8" s="1"/>
  <c r="B13" i="8"/>
  <c r="H5" i="5"/>
  <c r="H19" i="5"/>
  <c r="M5" i="4"/>
  <c r="I19" i="5"/>
  <c r="E3" i="4"/>
  <c r="E19" i="5"/>
  <c r="H11" i="5"/>
  <c r="H17" i="5"/>
  <c r="I6" i="5"/>
  <c r="I15" i="4"/>
  <c r="I12" i="4"/>
  <c r="B10" i="8" s="1"/>
  <c r="U34" i="3"/>
  <c r="T34" i="3"/>
  <c r="D10" i="4"/>
  <c r="D15" i="4"/>
  <c r="E15" i="4" s="1"/>
  <c r="J15" i="4" s="1"/>
  <c r="D18" i="5"/>
  <c r="C20" i="6"/>
  <c r="E20" i="6" s="1"/>
  <c r="D12" i="5"/>
  <c r="C18" i="7"/>
  <c r="C21" i="6"/>
  <c r="E21" i="6" s="1"/>
  <c r="C12" i="7"/>
  <c r="E12" i="7" s="1"/>
  <c r="T50" i="3"/>
  <c r="T11" i="3"/>
  <c r="I5" i="5" s="1"/>
  <c r="C6" i="7"/>
  <c r="E6" i="7" s="1"/>
  <c r="D9" i="4"/>
  <c r="E9" i="4" s="1"/>
  <c r="D16" i="5"/>
  <c r="C10" i="7"/>
  <c r="E10" i="7" s="1"/>
  <c r="C15" i="6"/>
  <c r="E15" i="6" s="1"/>
  <c r="C14" i="6"/>
  <c r="E14" i="6" s="1"/>
  <c r="D8" i="4"/>
  <c r="I16" i="5"/>
  <c r="I10" i="4"/>
  <c r="H16" i="4"/>
  <c r="C11" i="6"/>
  <c r="E11" i="6" s="1"/>
  <c r="C11" i="7"/>
  <c r="E11" i="7" s="1"/>
  <c r="C9" i="6"/>
  <c r="E9" i="6" s="1"/>
  <c r="C16" i="7"/>
  <c r="E16" i="7" s="1"/>
  <c r="C6" i="6"/>
  <c r="C13" i="6"/>
  <c r="E13" i="6" s="1"/>
  <c r="D2" i="4"/>
  <c r="I9" i="4"/>
  <c r="E5" i="5"/>
  <c r="I12" i="5"/>
  <c r="I16" i="4"/>
  <c r="D13" i="4"/>
  <c r="D15" i="5"/>
  <c r="D16" i="4"/>
  <c r="E16" i="4" s="1"/>
  <c r="D17" i="5"/>
  <c r="E17" i="5" s="1"/>
  <c r="C8" i="7"/>
  <c r="E8" i="7" s="1"/>
  <c r="C16" i="6"/>
  <c r="E16" i="6" s="1"/>
  <c r="D17" i="4"/>
  <c r="E17" i="4" s="1"/>
  <c r="C12" i="6"/>
  <c r="E12" i="6" s="1"/>
  <c r="I3" i="4"/>
  <c r="I4" i="5"/>
  <c r="U72" i="3"/>
  <c r="T72" i="3"/>
  <c r="M10" i="4"/>
  <c r="D8" i="5"/>
  <c r="D10" i="5"/>
  <c r="C21" i="7"/>
  <c r="D9" i="5"/>
  <c r="E9" i="5" s="1"/>
  <c r="C8" i="6"/>
  <c r="D8" i="6" s="1"/>
  <c r="C13" i="7"/>
  <c r="E13" i="7" s="1"/>
  <c r="D6" i="4"/>
  <c r="C10" i="6"/>
  <c r="E10" i="6" s="1"/>
  <c r="I7" i="4"/>
  <c r="I15" i="5"/>
  <c r="H9" i="4"/>
  <c r="D12" i="4"/>
  <c r="D14" i="4"/>
  <c r="D11" i="4"/>
  <c r="E11" i="4" s="1"/>
  <c r="C18" i="6"/>
  <c r="E18" i="6" s="1"/>
  <c r="D7" i="4"/>
  <c r="D4" i="4"/>
  <c r="C19" i="6"/>
  <c r="E19" i="6" s="1"/>
  <c r="T18" i="3"/>
  <c r="I13" i="4"/>
  <c r="I10" i="5"/>
  <c r="E11" i="5"/>
  <c r="J11" i="5" s="1"/>
  <c r="I7" i="5"/>
  <c r="I14" i="4"/>
  <c r="I18" i="5"/>
  <c r="I11" i="4"/>
  <c r="C17" i="7"/>
  <c r="E17" i="7" s="1"/>
  <c r="C19" i="7"/>
  <c r="D6" i="5"/>
  <c r="D5" i="4"/>
  <c r="E5" i="4" s="1"/>
  <c r="C7" i="6"/>
  <c r="D7" i="6" s="1"/>
  <c r="D4" i="5"/>
  <c r="U3" i="3"/>
  <c r="I4" i="4" s="1"/>
  <c r="T3" i="3"/>
  <c r="C7" i="7"/>
  <c r="E7" i="7" s="1"/>
  <c r="C14" i="7"/>
  <c r="E14" i="7" s="1"/>
  <c r="D7" i="5"/>
  <c r="E7" i="5" s="1"/>
  <c r="C9" i="7"/>
  <c r="E9" i="7" s="1"/>
  <c r="D14" i="5"/>
  <c r="C17" i="6"/>
  <c r="E17" i="6" s="1"/>
  <c r="C20" i="7"/>
  <c r="C15" i="7"/>
  <c r="E15" i="7" s="1"/>
  <c r="I2" i="4"/>
  <c r="I8" i="5"/>
  <c r="J19" i="5"/>
  <c r="T16" i="6" l="1"/>
  <c r="D19" i="7"/>
  <c r="D18" i="7"/>
  <c r="D6" i="6"/>
  <c r="E12" i="4"/>
  <c r="B8" i="8"/>
  <c r="J7" i="5"/>
  <c r="J5" i="5"/>
  <c r="D8" i="7"/>
  <c r="D13" i="7"/>
  <c r="D12" i="7"/>
  <c r="D17" i="7"/>
  <c r="D11" i="7"/>
  <c r="D10" i="7"/>
  <c r="D9" i="7"/>
  <c r="D6" i="7"/>
  <c r="D14" i="7"/>
  <c r="D16" i="7"/>
  <c r="D21" i="7"/>
  <c r="K22" i="7"/>
  <c r="D15" i="7"/>
  <c r="I23" i="8"/>
  <c r="D20" i="7"/>
  <c r="D7" i="7"/>
  <c r="D12" i="6"/>
  <c r="D17" i="6"/>
  <c r="D16" i="6"/>
  <c r="D10" i="6"/>
  <c r="D9" i="6"/>
  <c r="D14" i="6"/>
  <c r="D21" i="6"/>
  <c r="D11" i="6"/>
  <c r="D15" i="6"/>
  <c r="D18" i="6"/>
  <c r="D19" i="6"/>
  <c r="D20" i="6"/>
  <c r="D13" i="6"/>
  <c r="T60" i="6"/>
  <c r="J3" i="4"/>
  <c r="E4" i="4"/>
  <c r="J4" i="4" s="1"/>
  <c r="E8" i="4"/>
  <c r="E7" i="4"/>
  <c r="J7" i="4" s="1"/>
  <c r="E6" i="4"/>
  <c r="I14" i="5"/>
  <c r="J14" i="5" s="1"/>
  <c r="I17" i="4"/>
  <c r="J17" i="4" s="1"/>
  <c r="J11" i="4"/>
  <c r="E15" i="5"/>
  <c r="J15" i="5" s="1"/>
  <c r="E12" i="5"/>
  <c r="J12" i="5" s="1"/>
  <c r="I13" i="5"/>
  <c r="J13" i="5" s="1"/>
  <c r="E6" i="5"/>
  <c r="J6" i="5" s="1"/>
  <c r="E14" i="4"/>
  <c r="J14" i="4" s="1"/>
  <c r="E13" i="4"/>
  <c r="J13" i="4" s="1"/>
  <c r="E2" i="4"/>
  <c r="J2" i="4" s="1"/>
  <c r="E16" i="5"/>
  <c r="J16" i="5" s="1"/>
  <c r="I8" i="4"/>
  <c r="I17" i="5"/>
  <c r="J17" i="5" s="1"/>
  <c r="J9" i="4"/>
  <c r="E18" i="5"/>
  <c r="J18" i="5" s="1"/>
  <c r="E14" i="5"/>
  <c r="E10" i="5"/>
  <c r="J10" i="5" s="1"/>
  <c r="I9" i="5"/>
  <c r="J9" i="5" s="1"/>
  <c r="I5" i="4"/>
  <c r="J5" i="4" s="1"/>
  <c r="E4" i="5"/>
  <c r="J4" i="5" s="1"/>
  <c r="E8" i="5"/>
  <c r="J8" i="5" s="1"/>
  <c r="J16" i="4"/>
  <c r="E10" i="4"/>
  <c r="J10" i="4" s="1"/>
  <c r="I6" i="4"/>
  <c r="T59" i="6" l="1"/>
  <c r="T63" i="6"/>
  <c r="T65" i="6"/>
  <c r="T61" i="6"/>
  <c r="T64" i="6"/>
  <c r="T62" i="6"/>
  <c r="T9" i="6"/>
  <c r="T21" i="6"/>
  <c r="T15" i="6"/>
  <c r="T18" i="6"/>
  <c r="T14" i="6"/>
  <c r="T13" i="6"/>
  <c r="T12" i="6"/>
  <c r="J12" i="4"/>
  <c r="B11" i="8" s="1"/>
  <c r="B9" i="8"/>
  <c r="K21" i="7"/>
  <c r="K23" i="7"/>
  <c r="I21" i="8"/>
  <c r="I26" i="8"/>
  <c r="I29" i="8"/>
  <c r="I25" i="8"/>
  <c r="I22" i="8"/>
  <c r="I28" i="8"/>
  <c r="K15" i="7"/>
  <c r="I30" i="8"/>
  <c r="K12" i="7"/>
  <c r="I27" i="8"/>
  <c r="I24" i="8"/>
  <c r="K9" i="7"/>
  <c r="K18" i="7"/>
  <c r="K10" i="7"/>
  <c r="K16" i="7"/>
  <c r="K8" i="7"/>
  <c r="K6" i="7"/>
  <c r="K13" i="7"/>
  <c r="K14" i="7"/>
  <c r="K7" i="7"/>
  <c r="K19" i="7"/>
  <c r="K20" i="7"/>
  <c r="K17" i="7"/>
  <c r="K11" i="7"/>
  <c r="T10" i="6"/>
  <c r="T11" i="6"/>
  <c r="T20" i="6"/>
  <c r="T17" i="6"/>
  <c r="T7" i="6"/>
  <c r="T19" i="6"/>
  <c r="T8" i="6"/>
  <c r="T6" i="6"/>
  <c r="A14" i="5"/>
  <c r="A18" i="5"/>
  <c r="J6" i="4"/>
  <c r="A12" i="5"/>
  <c r="J8" i="4"/>
  <c r="A6" i="4" s="1"/>
  <c r="A7" i="5"/>
  <c r="A6" i="5"/>
  <c r="A5" i="5"/>
  <c r="A17" i="5"/>
  <c r="A9" i="5"/>
  <c r="A16" i="5"/>
  <c r="A15" i="5"/>
  <c r="A10" i="5"/>
  <c r="A2" i="4"/>
  <c r="A10" i="4"/>
  <c r="A19" i="5"/>
  <c r="A11" i="5"/>
  <c r="A14" i="4"/>
  <c r="A11" i="4"/>
  <c r="A13" i="5"/>
  <c r="A4" i="4"/>
  <c r="A4" i="5"/>
  <c r="A8" i="5"/>
  <c r="A7" i="4"/>
  <c r="A12" i="4" l="1"/>
  <c r="B6" i="8" s="1"/>
  <c r="A9" i="4"/>
  <c r="A16" i="4"/>
  <c r="A8" i="4"/>
  <c r="A17" i="4"/>
  <c r="A13" i="4"/>
  <c r="A5" i="4"/>
  <c r="A3" i="4"/>
  <c r="B10" i="10" s="1"/>
  <c r="A15" i="4"/>
  <c r="O8" i="7"/>
  <c r="N15" i="7"/>
  <c r="O11" i="7"/>
  <c r="N11" i="7"/>
  <c r="O13" i="7"/>
  <c r="P14" i="7"/>
  <c r="N6" i="7"/>
  <c r="O9" i="7"/>
  <c r="P15" i="7"/>
  <c r="N13" i="7"/>
  <c r="N8" i="7"/>
  <c r="P8" i="7"/>
  <c r="O7" i="7"/>
  <c r="O12" i="7"/>
  <c r="P11" i="7"/>
  <c r="Q7" i="7"/>
  <c r="Q11" i="7"/>
  <c r="M11" i="7"/>
  <c r="M15" i="7"/>
  <c r="Q8" i="7"/>
  <c r="M6" i="7"/>
  <c r="M7" i="7"/>
  <c r="O14" i="7"/>
  <c r="Q13" i="7"/>
  <c r="N10" i="7"/>
  <c r="N9" i="7"/>
  <c r="Q10" i="7"/>
  <c r="M8" i="7"/>
  <c r="P10" i="7"/>
  <c r="P12" i="7"/>
  <c r="Q12" i="7"/>
  <c r="O6" i="7"/>
  <c r="N14" i="7"/>
  <c r="N7" i="7"/>
  <c r="P6" i="7"/>
  <c r="P7" i="7"/>
  <c r="P9" i="7"/>
  <c r="Q6" i="7"/>
  <c r="O15" i="7"/>
  <c r="M9" i="7"/>
  <c r="M12" i="7"/>
  <c r="Q14" i="7"/>
  <c r="P13" i="7"/>
  <c r="M13" i="7"/>
  <c r="O10" i="7"/>
  <c r="M10" i="7"/>
  <c r="N12" i="7"/>
  <c r="Q15" i="7"/>
  <c r="M14" i="7"/>
  <c r="Q9" i="7"/>
  <c r="S10" i="6"/>
  <c r="Q14" i="6"/>
  <c r="D29" i="8" s="1"/>
  <c r="P6" i="6"/>
  <c r="C21" i="8" s="1"/>
  <c r="S8" i="6"/>
  <c r="O9" i="6"/>
  <c r="B24" i="8" s="1"/>
  <c r="S14" i="6"/>
  <c r="Q15" i="6"/>
  <c r="D30" i="8" s="1"/>
  <c r="R9" i="6"/>
  <c r="E24" i="8" s="1"/>
  <c r="P9" i="6"/>
  <c r="C24" i="8" s="1"/>
  <c r="P13" i="6"/>
  <c r="C28" i="8" s="1"/>
  <c r="Q6" i="6"/>
  <c r="D21" i="8" s="1"/>
  <c r="R6" i="6"/>
  <c r="E21" i="8" s="1"/>
  <c r="O12" i="6"/>
  <c r="B27" i="8" s="1"/>
  <c r="S15" i="6"/>
  <c r="R10" i="6"/>
  <c r="E25" i="8" s="1"/>
  <c r="R7" i="6"/>
  <c r="E22" i="8" s="1"/>
  <c r="S12" i="6"/>
  <c r="O11" i="6"/>
  <c r="B26" i="8" s="1"/>
  <c r="R15" i="6"/>
  <c r="E30" i="8" s="1"/>
  <c r="R8" i="6"/>
  <c r="E23" i="8" s="1"/>
  <c r="Q8" i="6"/>
  <c r="D23" i="8" s="1"/>
  <c r="N14" i="6"/>
  <c r="A29" i="8" s="1"/>
  <c r="O13" i="6"/>
  <c r="B28" i="8" s="1"/>
  <c r="P11" i="6"/>
  <c r="C26" i="8" s="1"/>
  <c r="O14" i="6"/>
  <c r="B29" i="8" s="1"/>
  <c r="O6" i="6"/>
  <c r="B21" i="8" s="1"/>
  <c r="N11" i="6"/>
  <c r="A26" i="8" s="1"/>
  <c r="N8" i="6"/>
  <c r="A23" i="8" s="1"/>
  <c r="P14" i="6"/>
  <c r="C29" i="8" s="1"/>
  <c r="S6" i="6"/>
  <c r="S7" i="6"/>
  <c r="Q13" i="6"/>
  <c r="D28" i="8" s="1"/>
  <c r="Q11" i="6"/>
  <c r="D26" i="8" s="1"/>
  <c r="R13" i="6"/>
  <c r="E28" i="8" s="1"/>
  <c r="Q10" i="6"/>
  <c r="D25" i="8" s="1"/>
  <c r="Q9" i="6"/>
  <c r="D24" i="8" s="1"/>
  <c r="S9" i="6"/>
  <c r="P7" i="6"/>
  <c r="C22" i="8" s="1"/>
  <c r="N6" i="6"/>
  <c r="A21" i="8" s="1"/>
  <c r="N10" i="6"/>
  <c r="A25" i="8" s="1"/>
  <c r="R14" i="6"/>
  <c r="E29" i="8" s="1"/>
  <c r="R12" i="6"/>
  <c r="E27" i="8" s="1"/>
  <c r="O8" i="6"/>
  <c r="B23" i="8" s="1"/>
  <c r="N7" i="6"/>
  <c r="A22" i="8" s="1"/>
  <c r="O10" i="6"/>
  <c r="B25" i="8" s="1"/>
  <c r="P15" i="6"/>
  <c r="C30" i="8" s="1"/>
  <c r="Q7" i="6"/>
  <c r="D22" i="8" s="1"/>
  <c r="P10" i="6"/>
  <c r="C25" i="8" s="1"/>
  <c r="O15" i="6"/>
  <c r="B30" i="8" s="1"/>
  <c r="O7" i="6"/>
  <c r="B22" i="8" s="1"/>
  <c r="P12" i="6"/>
  <c r="C27" i="8" s="1"/>
  <c r="R11" i="6"/>
  <c r="E26" i="8" s="1"/>
  <c r="N9" i="6"/>
  <c r="A24" i="8" s="1"/>
  <c r="Q12" i="6"/>
  <c r="D27" i="8" s="1"/>
  <c r="S13" i="6"/>
  <c r="N12" i="6"/>
  <c r="A27" i="8" s="1"/>
  <c r="N13" i="6"/>
  <c r="A28" i="8" s="1"/>
  <c r="P8" i="6"/>
  <c r="C23" i="8" s="1"/>
  <c r="N15" i="6"/>
  <c r="A30" i="8" s="1"/>
  <c r="S11" i="6"/>
  <c r="B4" i="10"/>
  <c r="B18" i="10" l="1"/>
  <c r="B12" i="10"/>
  <c r="B11" i="10"/>
  <c r="B5" i="10"/>
  <c r="B23" i="10"/>
  <c r="B8" i="10"/>
  <c r="B20" i="10"/>
  <c r="H20" i="10" s="1"/>
  <c r="B6" i="10"/>
  <c r="G6" i="10" s="1"/>
  <c r="B9" i="10"/>
  <c r="B16" i="10"/>
  <c r="B22" i="10"/>
  <c r="B21" i="10"/>
  <c r="B15" i="10"/>
  <c r="C15" i="10" s="1"/>
  <c r="B7" i="10"/>
  <c r="H7" i="10" s="1"/>
  <c r="B19" i="10"/>
  <c r="F19" i="10" s="1"/>
  <c r="B13" i="10"/>
  <c r="C13" i="10" s="1"/>
  <c r="B17" i="10"/>
  <c r="B14" i="10"/>
  <c r="D7" i="10"/>
  <c r="G7" i="10"/>
  <c r="C7" i="10"/>
  <c r="D12" i="10"/>
  <c r="F12" i="10"/>
  <c r="H12" i="10"/>
  <c r="E12" i="10"/>
  <c r="G12" i="10"/>
  <c r="C12" i="10"/>
  <c r="C18" i="10"/>
  <c r="H18" i="10"/>
  <c r="F18" i="10"/>
  <c r="G18" i="10"/>
  <c r="D18" i="10"/>
  <c r="E18" i="10"/>
  <c r="D9" i="10"/>
  <c r="H9" i="10"/>
  <c r="F9" i="10"/>
  <c r="G9" i="10"/>
  <c r="E9" i="10"/>
  <c r="C9" i="10"/>
  <c r="E11" i="10"/>
  <c r="G11" i="10"/>
  <c r="D11" i="10"/>
  <c r="C11" i="10"/>
  <c r="H11" i="10"/>
  <c r="F11" i="10"/>
  <c r="F23" i="10"/>
  <c r="E23" i="10"/>
  <c r="D23" i="10"/>
  <c r="I23" i="10"/>
  <c r="H23" i="10"/>
  <c r="G23" i="10"/>
  <c r="C23" i="10"/>
  <c r="D8" i="10"/>
  <c r="H8" i="10"/>
  <c r="F8" i="10"/>
  <c r="G8" i="10"/>
  <c r="E8" i="10"/>
  <c r="C8" i="10"/>
  <c r="D22" i="10"/>
  <c r="I22" i="10"/>
  <c r="H22" i="10"/>
  <c r="F22" i="10"/>
  <c r="G22" i="10"/>
  <c r="E22" i="10"/>
  <c r="C22" i="10"/>
  <c r="F21" i="10"/>
  <c r="E21" i="10"/>
  <c r="D21" i="10"/>
  <c r="G21" i="10"/>
  <c r="I21" i="10"/>
  <c r="H21" i="10"/>
  <c r="C21" i="10"/>
  <c r="F16" i="10"/>
  <c r="E16" i="10"/>
  <c r="H16" i="10"/>
  <c r="C16" i="10"/>
  <c r="D16" i="10"/>
  <c r="G16" i="10"/>
  <c r="H17" i="10"/>
  <c r="F17" i="10"/>
  <c r="E17" i="10"/>
  <c r="D17" i="10"/>
  <c r="G17" i="10"/>
  <c r="C17" i="10"/>
  <c r="H14" i="10"/>
  <c r="F14" i="10"/>
  <c r="D14" i="10"/>
  <c r="E14" i="10"/>
  <c r="C14" i="10"/>
  <c r="G14" i="10"/>
  <c r="C10" i="10"/>
  <c r="H10" i="10"/>
  <c r="F10" i="10"/>
  <c r="D10" i="10"/>
  <c r="G10" i="10"/>
  <c r="E10" i="10"/>
  <c r="F6" i="10"/>
  <c r="C5" i="10"/>
  <c r="F5" i="10"/>
  <c r="E5" i="10"/>
  <c r="G5" i="10"/>
  <c r="D5" i="10"/>
  <c r="H5" i="10"/>
  <c r="G4" i="10"/>
  <c r="H4" i="10"/>
  <c r="F4" i="10"/>
  <c r="E4" i="10"/>
  <c r="D4" i="10"/>
  <c r="C4" i="10"/>
  <c r="E15" i="10" l="1"/>
  <c r="H15" i="10"/>
  <c r="D15" i="10"/>
  <c r="H19" i="10"/>
  <c r="F7" i="10"/>
  <c r="G20" i="10"/>
  <c r="C20" i="10"/>
  <c r="G15" i="10"/>
  <c r="C6" i="10"/>
  <c r="E13" i="10"/>
  <c r="D13" i="10"/>
  <c r="E20" i="10"/>
  <c r="E19" i="10"/>
  <c r="F15" i="10"/>
  <c r="D6" i="10"/>
  <c r="I20" i="10"/>
  <c r="H13" i="10"/>
  <c r="C19" i="10"/>
  <c r="H6" i="10"/>
  <c r="E6" i="10"/>
  <c r="G13" i="10"/>
  <c r="G19" i="10"/>
  <c r="E7" i="10"/>
  <c r="F13" i="10"/>
  <c r="D19" i="10"/>
  <c r="D20" i="10"/>
  <c r="F20" i="10"/>
</calcChain>
</file>

<file path=xl/sharedStrings.xml><?xml version="1.0" encoding="utf-8"?>
<sst xmlns="http://schemas.openxmlformats.org/spreadsheetml/2006/main" count="992" uniqueCount="120">
  <si>
    <t>Guía rápida (sin errores de reparación)</t>
  </si>
  <si>
    <t>1) Alta de jugadores</t>
  </si>
  <si>
    <t>Hoja 'Jugadores': escribe los nombres en la columna B (desde B2).</t>
  </si>
  <si>
    <t>2) Registrar partidos</t>
  </si>
  <si>
    <t>Hoja 'Partidos': rellena Fecha, Tipo (Liga/Eliminatoria), jugadores A1/A2/B1/B2 y los juegos por set. Las columnas Sets/Games/Diff/Bonus se calculan solas.</t>
  </si>
  <si>
    <t>3) Ranking</t>
  </si>
  <si>
    <t>Hoja 'Ranking': se actualiza automáticamente con PJ, V, D, Dif, Bonus y Puntos. La columna Pos evita empates invisibles.</t>
  </si>
  <si>
    <t>4) Consulta jugador</t>
  </si>
  <si>
    <t>Hoja 'Consulta': selecciona jugador en B3 y copia el texto en H6 para WhatsApp (individual).</t>
  </si>
  <si>
    <t>5) Previa de partido</t>
  </si>
  <si>
    <t>Hoja 'Previa': selecciona 4 jugadores y copia el texto de A16 para enviar la previa al grupo.</t>
  </si>
  <si>
    <t>6) Ver últimos partidos (sin hoja 'Ultimos')</t>
  </si>
  <si>
    <t>En la hoja 'Partidos' usa el filtro (fila 1): filtra A1/A2/B1/B2 por un jugador y ordena por ID (columna A) de mayor a menor. Así ves los últimos partidos sin fórmulas adicionales.</t>
  </si>
  <si>
    <t>ID</t>
  </si>
  <si>
    <t>Nombre</t>
  </si>
  <si>
    <t>Fecha</t>
  </si>
  <si>
    <t>Tipo</t>
  </si>
  <si>
    <t>A1</t>
  </si>
  <si>
    <t>A2</t>
  </si>
  <si>
    <t>B1</t>
  </si>
  <si>
    <t>B2</t>
  </si>
  <si>
    <t>S1_A</t>
  </si>
  <si>
    <t>S1_B</t>
  </si>
  <si>
    <t>S2_A</t>
  </si>
  <si>
    <t>S2_B</t>
  </si>
  <si>
    <t>S3_A</t>
  </si>
  <si>
    <t>S3_B</t>
  </si>
  <si>
    <t>Sets_A</t>
  </si>
  <si>
    <t>Sets_B</t>
  </si>
  <si>
    <t>Winner(A/B)</t>
  </si>
  <si>
    <t>Games_A</t>
  </si>
  <si>
    <t>Games_B</t>
  </si>
  <si>
    <t>Diff(A-B)</t>
  </si>
  <si>
    <t>Bonus_A</t>
  </si>
  <si>
    <t>Bonus_B</t>
  </si>
  <si>
    <t>IncluyeJugador</t>
  </si>
  <si>
    <t>Config</t>
  </si>
  <si>
    <t>Filtro jugador</t>
  </si>
  <si>
    <t>Temporada</t>
  </si>
  <si>
    <t>OK_Temp</t>
  </si>
  <si>
    <t>LigaLabel</t>
  </si>
  <si>
    <t>Liga</t>
  </si>
  <si>
    <t>WinPts</t>
  </si>
  <si>
    <t>LossPts</t>
  </si>
  <si>
    <t>Temporada (filtro)</t>
  </si>
  <si>
    <t>BonusCoef</t>
  </si>
  <si>
    <t>BonusCap</t>
  </si>
  <si>
    <t>Pos</t>
  </si>
  <si>
    <t>Jugador</t>
  </si>
  <si>
    <t>PJ</t>
  </si>
  <si>
    <t>V</t>
  </si>
  <si>
    <t>D</t>
  </si>
  <si>
    <t>GamesF</t>
  </si>
  <si>
    <t>GamesC</t>
  </si>
  <si>
    <t>Dif</t>
  </si>
  <si>
    <t>Bonus</t>
  </si>
  <si>
    <t>PuntosTotal</t>
  </si>
  <si>
    <t>SetsF</t>
  </si>
  <si>
    <t>SetsC</t>
  </si>
  <si>
    <t>Dif Sets</t>
  </si>
  <si>
    <t>Ranking (por temporada)</t>
  </si>
  <si>
    <t>Temporada:</t>
  </si>
  <si>
    <t>Puntos</t>
  </si>
  <si>
    <t>Parejas (con quién juegas más y cómo te va)</t>
  </si>
  <si>
    <t>Ordenar TOP por</t>
  </si>
  <si>
    <t>%V</t>
  </si>
  <si>
    <t>TOP 10 (auto)</t>
  </si>
  <si>
    <t>Compañero</t>
  </si>
  <si>
    <t>PJ juntos (Liga)</t>
  </si>
  <si>
    <t>Victorias juntos</t>
  </si>
  <si>
    <t>Derrotas juntos</t>
  </si>
  <si>
    <t>% Victorias</t>
  </si>
  <si>
    <t>RankPJ</t>
  </si>
  <si>
    <t>Rank%V</t>
  </si>
  <si>
    <t>Rivales (contra quién juegas y cómo te va)</t>
  </si>
  <si>
    <t>Rival</t>
  </si>
  <si>
    <t>PJ vs (Liga)</t>
  </si>
  <si>
    <t>Victorias</t>
  </si>
  <si>
    <t>Derrotas</t>
  </si>
  <si>
    <t>Sets (info)</t>
  </si>
  <si>
    <t>Dif Juegos (info)</t>
  </si>
  <si>
    <t>Notas</t>
  </si>
  <si>
    <t>Resumen del jugador</t>
  </si>
  <si>
    <t>Estadísticas</t>
  </si>
  <si>
    <t>Atajos</t>
  </si>
  <si>
    <t>Posición</t>
  </si>
  <si>
    <t>Parejas: hoja 'Parejas' (B3)</t>
  </si>
  <si>
    <t>Rivales: hoja 'Rivales' (B3)</t>
  </si>
  <si>
    <t>Partidos: filtra IncluyeJugador</t>
  </si>
  <si>
    <t>Dif Games</t>
  </si>
  <si>
    <t>Top 10 Parejas (según tu orden en 'Parejas')</t>
  </si>
  <si>
    <t>Top 10 Rivales (según tu orden en 'Rivales')</t>
  </si>
  <si>
    <t>Consulta rápida (elige jugador)</t>
  </si>
  <si>
    <t>Texto para WhatsApp (copiar)</t>
  </si>
  <si>
    <t>Ranking (vista móvil - Top 20)</t>
  </si>
  <si>
    <t>Linea</t>
  </si>
  <si>
    <t>Previa de partido (para WhatsApp)</t>
  </si>
  <si>
    <t>Equipo A - Jugador 1</t>
  </si>
  <si>
    <t>Equipo A - Jugador 2</t>
  </si>
  <si>
    <t>Equipo B - Jugador 1</t>
  </si>
  <si>
    <t>Equipo B - Jugador 2</t>
  </si>
  <si>
    <t>Total Equipo A</t>
  </si>
  <si>
    <t>Total Equipo B</t>
  </si>
  <si>
    <t>Texto para WhatsApp (copia y pega)</t>
  </si>
  <si>
    <t>Javier suarez</t>
  </si>
  <si>
    <t>Imobach González</t>
  </si>
  <si>
    <t>José López</t>
  </si>
  <si>
    <t>César Morales</t>
  </si>
  <si>
    <t>Carmelo Rosario</t>
  </si>
  <si>
    <t>Israel Suárez</t>
  </si>
  <si>
    <t>Cristo Marrero</t>
  </si>
  <si>
    <t>Alberto Pulido</t>
  </si>
  <si>
    <t>Wilfredo Santana</t>
  </si>
  <si>
    <t>Javier Bonilla</t>
  </si>
  <si>
    <t>José Fernando</t>
  </si>
  <si>
    <t>Guillermo Medina</t>
  </si>
  <si>
    <t>Eva Pulido</t>
  </si>
  <si>
    <t>Nacho Navidad</t>
  </si>
  <si>
    <t>Alberto Nunes</t>
  </si>
  <si>
    <t>Yeray Armas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</si>
</sst>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4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5" fillId="0" borderId="9" xfId="0" applyFont="1" applyBorder="1"/>
    <xf numFmtId="0" fontId="2" fillId="0" borderId="9" xfId="0" applyFont="1" applyBorder="1"/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0" fontId="5" fillId="0" borderId="9" xfId="0" applyNumberFormat="1" applyFont="1" applyBorder="1"/>
    <xf numFmtId="2" fontId="5" fillId="0" borderId="9" xfId="0" applyNumberFormat="1" applyFont="1" applyBorder="1"/>
    <xf numFmtId="10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3" fillId="0" borderId="0" xfId="0" applyFont="1"/>
    <xf numFmtId="0" fontId="5" fillId="0" borderId="9" xfId="0" applyFont="1" applyBorder="1" applyAlignment="1">
      <alignment wrapText="1"/>
    </xf>
    <xf numFmtId="0" fontId="2" fillId="0" borderId="9" xfId="0" applyFont="1" applyBorder="1"/>
    <xf numFmtId="0" fontId="2" fillId="3" borderId="9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/>
  </sheetViews>
  <sheetFormatPr baseColWidth="10" defaultColWidth="8.88671875" defaultRowHeight="14.4" x14ac:dyDescent="0.3"/>
  <cols>
    <col min="1" max="8" width="18" customWidth="1"/>
  </cols>
  <sheetData>
    <row r="1" spans="1:8" ht="24" customHeight="1" x14ac:dyDescent="0.3">
      <c r="A1" s="32" t="s">
        <v>0</v>
      </c>
      <c r="B1" s="31"/>
      <c r="C1" s="31"/>
      <c r="D1" s="31"/>
      <c r="E1" s="31"/>
      <c r="F1" s="31"/>
      <c r="G1" s="31"/>
      <c r="H1" s="31"/>
    </row>
    <row r="3" spans="1:8" x14ac:dyDescent="0.3">
      <c r="A3" s="5" t="s">
        <v>1</v>
      </c>
    </row>
    <row r="4" spans="1:8" ht="34.049999999999997" customHeight="1" x14ac:dyDescent="0.3">
      <c r="A4" s="30" t="s">
        <v>2</v>
      </c>
      <c r="B4" s="31"/>
      <c r="C4" s="31"/>
      <c r="D4" s="31"/>
      <c r="E4" s="31"/>
      <c r="F4" s="31"/>
      <c r="G4" s="31"/>
      <c r="H4" s="31"/>
    </row>
    <row r="5" spans="1:8" x14ac:dyDescent="0.3">
      <c r="A5" s="5" t="s">
        <v>3</v>
      </c>
    </row>
    <row r="6" spans="1:8" ht="34.049999999999997" customHeight="1" x14ac:dyDescent="0.3">
      <c r="A6" s="30" t="s">
        <v>4</v>
      </c>
      <c r="B6" s="31"/>
      <c r="C6" s="31"/>
      <c r="D6" s="31"/>
      <c r="E6" s="31"/>
      <c r="F6" s="31"/>
      <c r="G6" s="31"/>
      <c r="H6" s="31"/>
    </row>
    <row r="7" spans="1:8" x14ac:dyDescent="0.3">
      <c r="A7" s="5" t="s">
        <v>5</v>
      </c>
    </row>
    <row r="8" spans="1:8" ht="34.049999999999997" customHeight="1" x14ac:dyDescent="0.3">
      <c r="A8" s="30" t="s">
        <v>6</v>
      </c>
      <c r="B8" s="31"/>
      <c r="C8" s="31"/>
      <c r="D8" s="31"/>
      <c r="E8" s="31"/>
      <c r="F8" s="31"/>
      <c r="G8" s="31"/>
      <c r="H8" s="31"/>
    </row>
    <row r="9" spans="1:8" x14ac:dyDescent="0.3">
      <c r="A9" s="5" t="s">
        <v>7</v>
      </c>
    </row>
    <row r="10" spans="1:8" ht="34.049999999999997" customHeight="1" x14ac:dyDescent="0.3">
      <c r="A10" s="30" t="s">
        <v>8</v>
      </c>
      <c r="B10" s="31"/>
      <c r="C10" s="31"/>
      <c r="D10" s="31"/>
      <c r="E10" s="31"/>
      <c r="F10" s="31"/>
      <c r="G10" s="31"/>
      <c r="H10" s="31"/>
    </row>
    <row r="11" spans="1:8" x14ac:dyDescent="0.3">
      <c r="A11" s="5" t="s">
        <v>9</v>
      </c>
    </row>
    <row r="12" spans="1:8" ht="34.049999999999997" customHeight="1" x14ac:dyDescent="0.3">
      <c r="A12" s="30" t="s">
        <v>10</v>
      </c>
      <c r="B12" s="31"/>
      <c r="C12" s="31"/>
      <c r="D12" s="31"/>
      <c r="E12" s="31"/>
      <c r="F12" s="31"/>
      <c r="G12" s="31"/>
      <c r="H12" s="31"/>
    </row>
    <row r="13" spans="1:8" x14ac:dyDescent="0.3">
      <c r="A13" s="5" t="s">
        <v>11</v>
      </c>
    </row>
    <row r="14" spans="1:8" ht="34.049999999999997" customHeight="1" x14ac:dyDescent="0.3">
      <c r="A14" s="30" t="s">
        <v>12</v>
      </c>
      <c r="B14" s="31"/>
      <c r="C14" s="31"/>
      <c r="D14" s="31"/>
      <c r="E14" s="31"/>
      <c r="F14" s="31"/>
      <c r="G14" s="31"/>
      <c r="H14" s="31"/>
    </row>
  </sheetData>
  <mergeCells count="7">
    <mergeCell ref="A12:H12"/>
    <mergeCell ref="A4:H4"/>
    <mergeCell ref="A10:H10"/>
    <mergeCell ref="A14:H14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8671875" defaultRowHeight="14.4" x14ac:dyDescent="0.3"/>
  <cols>
    <col min="1" max="1" width="6" customWidth="1"/>
    <col min="2" max="2" width="26" customWidth="1"/>
  </cols>
  <sheetData>
    <row r="1" spans="1:2" ht="22.05" customHeight="1" x14ac:dyDescent="0.3">
      <c r="A1" s="1" t="s">
        <v>13</v>
      </c>
      <c r="B1" s="1" t="s">
        <v>14</v>
      </c>
    </row>
    <row r="2" spans="1:2" x14ac:dyDescent="0.3">
      <c r="A2" s="2">
        <v>1</v>
      </c>
      <c r="B2" s="3" t="s">
        <v>104</v>
      </c>
    </row>
    <row r="3" spans="1:2" x14ac:dyDescent="0.3">
      <c r="A3" s="2">
        <v>2</v>
      </c>
      <c r="B3" s="3" t="s">
        <v>105</v>
      </c>
    </row>
    <row r="4" spans="1:2" x14ac:dyDescent="0.3">
      <c r="A4" s="2">
        <v>3</v>
      </c>
      <c r="B4" s="3" t="s">
        <v>106</v>
      </c>
    </row>
    <row r="5" spans="1:2" x14ac:dyDescent="0.3">
      <c r="A5" s="2">
        <v>4</v>
      </c>
      <c r="B5" s="3" t="s">
        <v>107</v>
      </c>
    </row>
    <row r="6" spans="1:2" x14ac:dyDescent="0.3">
      <c r="A6" s="2">
        <v>5</v>
      </c>
      <c r="B6" s="3" t="s">
        <v>108</v>
      </c>
    </row>
    <row r="7" spans="1:2" x14ac:dyDescent="0.3">
      <c r="A7" s="2">
        <v>6</v>
      </c>
      <c r="B7" s="3" t="s">
        <v>109</v>
      </c>
    </row>
    <row r="8" spans="1:2" x14ac:dyDescent="0.3">
      <c r="A8" s="2">
        <v>7</v>
      </c>
      <c r="B8" s="3" t="s">
        <v>110</v>
      </c>
    </row>
    <row r="9" spans="1:2" x14ac:dyDescent="0.3">
      <c r="A9" s="2">
        <v>8</v>
      </c>
      <c r="B9" s="3" t="s">
        <v>111</v>
      </c>
    </row>
    <row r="10" spans="1:2" x14ac:dyDescent="0.3">
      <c r="A10" s="2">
        <v>9</v>
      </c>
      <c r="B10" s="3" t="s">
        <v>112</v>
      </c>
    </row>
    <row r="11" spans="1:2" x14ac:dyDescent="0.3">
      <c r="A11" s="2">
        <v>10</v>
      </c>
      <c r="B11" s="3" t="s">
        <v>113</v>
      </c>
    </row>
    <row r="12" spans="1:2" x14ac:dyDescent="0.3">
      <c r="A12" s="2">
        <v>11</v>
      </c>
      <c r="B12" s="3" t="s">
        <v>114</v>
      </c>
    </row>
    <row r="13" spans="1:2" x14ac:dyDescent="0.3">
      <c r="A13" s="2">
        <v>12</v>
      </c>
      <c r="B13" s="3" t="s">
        <v>115</v>
      </c>
    </row>
    <row r="14" spans="1:2" x14ac:dyDescent="0.3">
      <c r="A14" s="2">
        <v>13</v>
      </c>
      <c r="B14" s="3" t="s">
        <v>116</v>
      </c>
    </row>
    <row r="15" spans="1:2" x14ac:dyDescent="0.3">
      <c r="A15" s="2">
        <v>14</v>
      </c>
      <c r="B15" s="3" t="s">
        <v>117</v>
      </c>
    </row>
    <row r="16" spans="1:2" x14ac:dyDescent="0.3">
      <c r="A16" s="2">
        <v>15</v>
      </c>
      <c r="B16" s="3" t="s">
        <v>118</v>
      </c>
    </row>
    <row r="17" spans="1:2" x14ac:dyDescent="0.3">
      <c r="A17" s="2">
        <v>16</v>
      </c>
      <c r="B17" s="3" t="s">
        <v>119</v>
      </c>
    </row>
    <row r="18" spans="1:2" x14ac:dyDescent="0.3">
      <c r="A18" s="2">
        <v>17</v>
      </c>
      <c r="B18" s="3"/>
    </row>
    <row r="19" spans="1:2" x14ac:dyDescent="0.3">
      <c r="A19" s="2">
        <v>18</v>
      </c>
      <c r="B19" s="3"/>
    </row>
    <row r="20" spans="1:2" x14ac:dyDescent="0.3">
      <c r="A20" s="2">
        <v>19</v>
      </c>
      <c r="B20" s="3"/>
    </row>
    <row r="21" spans="1:2" x14ac:dyDescent="0.3">
      <c r="A21" s="2">
        <v>20</v>
      </c>
      <c r="B21" s="3"/>
    </row>
    <row r="22" spans="1:2" x14ac:dyDescent="0.3">
      <c r="A22" s="2">
        <v>21</v>
      </c>
      <c r="B22" s="3"/>
    </row>
    <row r="23" spans="1:2" x14ac:dyDescent="0.3">
      <c r="A23" s="2">
        <v>22</v>
      </c>
      <c r="B23" s="3"/>
    </row>
    <row r="24" spans="1:2" x14ac:dyDescent="0.3">
      <c r="A24" s="2">
        <v>23</v>
      </c>
      <c r="B24" s="3"/>
    </row>
    <row r="25" spans="1:2" x14ac:dyDescent="0.3">
      <c r="A25" s="2">
        <v>24</v>
      </c>
      <c r="B25" s="3"/>
    </row>
    <row r="26" spans="1:2" x14ac:dyDescent="0.3">
      <c r="A26" s="2">
        <v>25</v>
      </c>
      <c r="B26" s="3"/>
    </row>
    <row r="27" spans="1:2" x14ac:dyDescent="0.3">
      <c r="A27" s="2">
        <v>26</v>
      </c>
      <c r="B27" s="3"/>
    </row>
    <row r="28" spans="1:2" x14ac:dyDescent="0.3">
      <c r="A28" s="2">
        <v>27</v>
      </c>
      <c r="B28" s="3"/>
    </row>
    <row r="29" spans="1:2" x14ac:dyDescent="0.3">
      <c r="A29" s="2">
        <v>28</v>
      </c>
      <c r="B29" s="3"/>
    </row>
    <row r="30" spans="1:2" x14ac:dyDescent="0.3">
      <c r="A30" s="2">
        <v>29</v>
      </c>
      <c r="B30" s="3"/>
    </row>
    <row r="31" spans="1:2" x14ac:dyDescent="0.3">
      <c r="A31" s="2">
        <v>30</v>
      </c>
      <c r="B31" s="3"/>
    </row>
    <row r="32" spans="1:2" x14ac:dyDescent="0.3">
      <c r="A32" s="2">
        <v>31</v>
      </c>
      <c r="B32" s="3"/>
    </row>
    <row r="33" spans="1:2" x14ac:dyDescent="0.3">
      <c r="A33" s="2">
        <v>32</v>
      </c>
      <c r="B33" s="3"/>
    </row>
    <row r="34" spans="1:2" x14ac:dyDescent="0.3">
      <c r="A34" s="2">
        <v>33</v>
      </c>
      <c r="B34" s="3"/>
    </row>
    <row r="35" spans="1:2" x14ac:dyDescent="0.3">
      <c r="A35" s="2">
        <v>34</v>
      </c>
      <c r="B35" s="3"/>
    </row>
    <row r="36" spans="1:2" x14ac:dyDescent="0.3">
      <c r="A36" s="2">
        <v>35</v>
      </c>
      <c r="B36" s="3"/>
    </row>
    <row r="37" spans="1:2" x14ac:dyDescent="0.3">
      <c r="A37" s="2">
        <v>36</v>
      </c>
      <c r="B37" s="3"/>
    </row>
    <row r="38" spans="1:2" x14ac:dyDescent="0.3">
      <c r="A38" s="2">
        <v>37</v>
      </c>
      <c r="B38" s="3"/>
    </row>
    <row r="39" spans="1:2" x14ac:dyDescent="0.3">
      <c r="A39" s="2">
        <v>38</v>
      </c>
      <c r="B39" s="3"/>
    </row>
    <row r="40" spans="1:2" x14ac:dyDescent="0.3">
      <c r="A40" s="2">
        <v>39</v>
      </c>
      <c r="B40" s="3"/>
    </row>
    <row r="41" spans="1:2" x14ac:dyDescent="0.3">
      <c r="A41" s="2">
        <v>40</v>
      </c>
      <c r="B41" s="3"/>
    </row>
    <row r="42" spans="1:2" x14ac:dyDescent="0.3">
      <c r="A42" s="2">
        <v>41</v>
      </c>
      <c r="B42" s="3"/>
    </row>
    <row r="43" spans="1:2" x14ac:dyDescent="0.3">
      <c r="A43" s="2">
        <v>42</v>
      </c>
      <c r="B43" s="3"/>
    </row>
    <row r="44" spans="1:2" x14ac:dyDescent="0.3">
      <c r="A44" s="2">
        <v>43</v>
      </c>
      <c r="B44" s="3"/>
    </row>
    <row r="45" spans="1:2" x14ac:dyDescent="0.3">
      <c r="A45" s="2">
        <v>44</v>
      </c>
      <c r="B45" s="3"/>
    </row>
    <row r="46" spans="1:2" x14ac:dyDescent="0.3">
      <c r="A46" s="2">
        <v>45</v>
      </c>
      <c r="B46" s="3"/>
    </row>
    <row r="47" spans="1:2" x14ac:dyDescent="0.3">
      <c r="A47" s="2">
        <v>46</v>
      </c>
      <c r="B47" s="3"/>
    </row>
    <row r="48" spans="1:2" x14ac:dyDescent="0.3">
      <c r="A48" s="2">
        <v>47</v>
      </c>
      <c r="B48" s="3"/>
    </row>
    <row r="49" spans="1:2" x14ac:dyDescent="0.3">
      <c r="A49" s="2">
        <v>48</v>
      </c>
      <c r="B49" s="3"/>
    </row>
    <row r="50" spans="1:2" x14ac:dyDescent="0.3">
      <c r="A50" s="2">
        <v>49</v>
      </c>
      <c r="B50" s="3"/>
    </row>
    <row r="51" spans="1:2" x14ac:dyDescent="0.3">
      <c r="A51" s="2">
        <v>50</v>
      </c>
      <c r="B51" s="3"/>
    </row>
    <row r="52" spans="1:2" x14ac:dyDescent="0.3">
      <c r="A52" s="2">
        <v>51</v>
      </c>
      <c r="B52" s="3"/>
    </row>
    <row r="53" spans="1:2" x14ac:dyDescent="0.3">
      <c r="A53" s="2">
        <v>52</v>
      </c>
      <c r="B53" s="3"/>
    </row>
    <row r="54" spans="1:2" x14ac:dyDescent="0.3">
      <c r="A54" s="2">
        <v>53</v>
      </c>
      <c r="B54" s="3"/>
    </row>
    <row r="55" spans="1:2" x14ac:dyDescent="0.3">
      <c r="A55" s="2">
        <v>54</v>
      </c>
      <c r="B55" s="3"/>
    </row>
    <row r="56" spans="1:2" x14ac:dyDescent="0.3">
      <c r="A56" s="2">
        <v>55</v>
      </c>
      <c r="B56" s="3"/>
    </row>
    <row r="57" spans="1:2" x14ac:dyDescent="0.3">
      <c r="A57" s="2">
        <v>56</v>
      </c>
      <c r="B57" s="3"/>
    </row>
    <row r="58" spans="1:2" x14ac:dyDescent="0.3">
      <c r="A58" s="2">
        <v>57</v>
      </c>
      <c r="B58" s="3"/>
    </row>
    <row r="59" spans="1:2" x14ac:dyDescent="0.3">
      <c r="A59" s="2">
        <v>58</v>
      </c>
      <c r="B59" s="3"/>
    </row>
    <row r="60" spans="1:2" x14ac:dyDescent="0.3">
      <c r="A60" s="2">
        <v>59</v>
      </c>
      <c r="B60" s="3"/>
    </row>
    <row r="61" spans="1:2" x14ac:dyDescent="0.3">
      <c r="A61" s="2">
        <v>60</v>
      </c>
      <c r="B61" s="3"/>
    </row>
  </sheetData>
  <autoFilter ref="A1:B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01"/>
  <sheetViews>
    <sheetView topLeftCell="N1" workbookViewId="0">
      <pane ySplit="1" topLeftCell="A2" activePane="bottomLeft" state="frozen"/>
      <selection pane="bottomLeft" activeCell="Z2" sqref="Z2"/>
    </sheetView>
  </sheetViews>
  <sheetFormatPr baseColWidth="10" defaultColWidth="8.88671875" defaultRowHeight="14.4" x14ac:dyDescent="0.3"/>
  <cols>
    <col min="1" max="1" width="6" customWidth="1"/>
    <col min="2" max="3" width="12" customWidth="1"/>
    <col min="4" max="7" width="18" customWidth="1"/>
    <col min="8" max="13" width="6" customWidth="1"/>
    <col min="14" max="15" width="7" customWidth="1"/>
    <col min="16" max="16" width="12" customWidth="1"/>
    <col min="17" max="21" width="10" customWidth="1"/>
    <col min="22" max="22" width="14" customWidth="1"/>
    <col min="23" max="23" width="12" customWidth="1"/>
    <col min="24" max="24" width="10" customWidth="1"/>
    <col min="26" max="26" width="18" customWidth="1"/>
    <col min="27" max="27" width="10" customWidth="1"/>
    <col min="28" max="28" width="13.6640625" bestFit="1" customWidth="1"/>
  </cols>
  <sheetData>
    <row r="1" spans="1:28" ht="22.05" customHeight="1" x14ac:dyDescent="0.3">
      <c r="A1" s="1" t="s">
        <v>13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t="s">
        <v>36</v>
      </c>
      <c r="Z1" s="5" t="s">
        <v>37</v>
      </c>
      <c r="AA1" s="1" t="s">
        <v>38</v>
      </c>
      <c r="AB1" s="1" t="s">
        <v>39</v>
      </c>
    </row>
    <row r="2" spans="1:28" x14ac:dyDescent="0.3">
      <c r="A2" s="2">
        <v>1</v>
      </c>
      <c r="B2" s="27">
        <v>45771</v>
      </c>
      <c r="C2" s="2" t="s">
        <v>41</v>
      </c>
      <c r="D2" s="6" t="s">
        <v>113</v>
      </c>
      <c r="E2" s="6" t="s">
        <v>105</v>
      </c>
      <c r="F2" s="6" t="s">
        <v>112</v>
      </c>
      <c r="G2" s="6" t="s">
        <v>117</v>
      </c>
      <c r="H2" s="2">
        <v>7</v>
      </c>
      <c r="I2" s="2">
        <v>5</v>
      </c>
      <c r="J2" s="2">
        <v>7</v>
      </c>
      <c r="K2" s="2">
        <v>6</v>
      </c>
      <c r="L2" s="2"/>
      <c r="M2" s="2"/>
      <c r="N2" s="2">
        <f t="shared" ref="N2:N65" si="0">IF(OR(H2="",I2="",J2="",K2=""),"",(IF(H2&gt;I2,1,0)+IF(J2&gt;K2,1,0)+IF(AND(L2&lt;&gt;"",M2&lt;&gt;""),IF(L2&gt;M2,1,0),0)))</f>
        <v>2</v>
      </c>
      <c r="O2" s="2">
        <f t="shared" ref="O2:O65" si="1">IF(N2="","",(IF(H2&lt;I2,1,0)+IF(J2&lt;K2,1,0)+IF(AND(L2&lt;&gt;"",M2&lt;&gt;""),IF(L2&lt;M2,1,0),0)))</f>
        <v>0</v>
      </c>
      <c r="P2" s="2" t="str">
        <f t="shared" ref="P2:P65" si="2">IF(N2="","",IF(N2&gt;O2,"A","B"))</f>
        <v>A</v>
      </c>
      <c r="Q2" s="2">
        <f t="shared" ref="Q2:Q65" si="3">IF(N2="","",H2+J2+IF(L2="",0,L2))</f>
        <v>14</v>
      </c>
      <c r="R2" s="2">
        <f t="shared" ref="R2:R65" si="4">IF(N2="","",I2+K2+IF(M2="",0,M2))</f>
        <v>11</v>
      </c>
      <c r="S2" s="2">
        <f t="shared" ref="S2:S65" si="5">IF(N2="","",Q2-R2)</f>
        <v>3</v>
      </c>
      <c r="T2" s="2">
        <f t="shared" ref="T2:T65" si="6">IF(OR(C2&lt;&gt;$X$2,P2=""),"",MIN(MAX(0,S2)*$X$5,$X$6))</f>
        <v>0.06</v>
      </c>
      <c r="U2" s="2">
        <f t="shared" ref="U2:U65" si="7">IF(OR(C2&lt;&gt;$X$2,P2=""),"",MIN(MAX(0,-S2)*$X$5,$X$6))</f>
        <v>0</v>
      </c>
      <c r="V2" s="2" t="b">
        <f t="shared" ref="V2:V65" si="8">IF($Z$2="","",OR($D2=$Z$2,$E2=$Z$2,$F2=$Z$2,$G2=$Z$2))</f>
        <v>0</v>
      </c>
      <c r="W2" s="5" t="s">
        <v>40</v>
      </c>
      <c r="X2" s="4" t="s">
        <v>41</v>
      </c>
      <c r="Z2" s="8" t="s">
        <v>119</v>
      </c>
      <c r="AA2" s="2">
        <f>IF($B2="","",YEAR($B2))</f>
        <v>2025</v>
      </c>
      <c r="AB2" s="2" t="b">
        <f t="shared" ref="AB2:AB65" si="9">IF($Z$5="Todas",TRUE,$AA2=$Z$5)</f>
        <v>1</v>
      </c>
    </row>
    <row r="3" spans="1:28" x14ac:dyDescent="0.3">
      <c r="A3" s="2">
        <v>2</v>
      </c>
      <c r="B3" s="27">
        <v>45772</v>
      </c>
      <c r="C3" s="2" t="s">
        <v>41</v>
      </c>
      <c r="D3" s="6" t="s">
        <v>117</v>
      </c>
      <c r="E3" s="6" t="s">
        <v>109</v>
      </c>
      <c r="F3" s="6" t="s">
        <v>105</v>
      </c>
      <c r="G3" s="6" t="s">
        <v>113</v>
      </c>
      <c r="H3" s="2">
        <v>2</v>
      </c>
      <c r="I3" s="2">
        <v>6</v>
      </c>
      <c r="J3" s="2">
        <v>6</v>
      </c>
      <c r="K3" s="2">
        <v>3</v>
      </c>
      <c r="L3" s="2">
        <v>5</v>
      </c>
      <c r="M3" s="2">
        <v>7</v>
      </c>
      <c r="N3" s="2">
        <f t="shared" si="0"/>
        <v>1</v>
      </c>
      <c r="O3" s="2">
        <f t="shared" si="1"/>
        <v>2</v>
      </c>
      <c r="P3" s="2" t="str">
        <f t="shared" si="2"/>
        <v>B</v>
      </c>
      <c r="Q3" s="2">
        <f t="shared" si="3"/>
        <v>13</v>
      </c>
      <c r="R3" s="2">
        <f t="shared" si="4"/>
        <v>16</v>
      </c>
      <c r="S3" s="2">
        <f t="shared" si="5"/>
        <v>-3</v>
      </c>
      <c r="T3" s="2">
        <f t="shared" si="6"/>
        <v>0</v>
      </c>
      <c r="U3" s="2">
        <f t="shared" si="7"/>
        <v>0.06</v>
      </c>
      <c r="V3" s="2" t="b">
        <f t="shared" si="8"/>
        <v>0</v>
      </c>
      <c r="W3" s="5" t="s">
        <v>42</v>
      </c>
      <c r="X3" s="4">
        <v>2</v>
      </c>
      <c r="AA3" s="2">
        <f t="shared" ref="AA3:AA65" si="10">IF($B3="","",YEAR($B3))</f>
        <v>2025</v>
      </c>
      <c r="AB3" s="2" t="b">
        <f t="shared" si="9"/>
        <v>1</v>
      </c>
    </row>
    <row r="4" spans="1:28" x14ac:dyDescent="0.3">
      <c r="A4" s="2">
        <v>3</v>
      </c>
      <c r="B4" s="27">
        <v>45776</v>
      </c>
      <c r="C4" s="2" t="s">
        <v>41</v>
      </c>
      <c r="D4" s="6" t="s">
        <v>108</v>
      </c>
      <c r="E4" s="6" t="s">
        <v>115</v>
      </c>
      <c r="F4" s="6" t="s">
        <v>117</v>
      </c>
      <c r="G4" s="6" t="s">
        <v>109</v>
      </c>
      <c r="H4" s="2">
        <v>6</v>
      </c>
      <c r="I4" s="2">
        <v>3</v>
      </c>
      <c r="J4" s="2">
        <v>5</v>
      </c>
      <c r="K4" s="2">
        <v>7</v>
      </c>
      <c r="L4" s="2">
        <v>0</v>
      </c>
      <c r="M4" s="2">
        <v>6</v>
      </c>
      <c r="N4" s="2">
        <f t="shared" si="0"/>
        <v>1</v>
      </c>
      <c r="O4" s="2">
        <f t="shared" si="1"/>
        <v>2</v>
      </c>
      <c r="P4" s="2" t="str">
        <f t="shared" si="2"/>
        <v>B</v>
      </c>
      <c r="Q4" s="2">
        <f t="shared" si="3"/>
        <v>11</v>
      </c>
      <c r="R4" s="2">
        <f t="shared" si="4"/>
        <v>16</v>
      </c>
      <c r="S4" s="2">
        <f t="shared" si="5"/>
        <v>-5</v>
      </c>
      <c r="T4" s="2">
        <f t="shared" si="6"/>
        <v>0</v>
      </c>
      <c r="U4" s="2">
        <f t="shared" si="7"/>
        <v>0.1</v>
      </c>
      <c r="V4" s="2" t="b">
        <f t="shared" si="8"/>
        <v>0</v>
      </c>
      <c r="W4" s="5" t="s">
        <v>43</v>
      </c>
      <c r="X4" s="4">
        <v>0</v>
      </c>
      <c r="Z4" s="5" t="s">
        <v>44</v>
      </c>
      <c r="AA4" s="2">
        <f t="shared" si="10"/>
        <v>2025</v>
      </c>
      <c r="AB4" s="2" t="b">
        <f t="shared" si="9"/>
        <v>1</v>
      </c>
    </row>
    <row r="5" spans="1:28" x14ac:dyDescent="0.3">
      <c r="A5" s="2">
        <v>4</v>
      </c>
      <c r="B5" s="27">
        <v>45776</v>
      </c>
      <c r="C5" s="2" t="s">
        <v>41</v>
      </c>
      <c r="D5" s="6" t="s">
        <v>113</v>
      </c>
      <c r="E5" s="6" t="s">
        <v>105</v>
      </c>
      <c r="F5" s="6" t="s">
        <v>110</v>
      </c>
      <c r="G5" s="6" t="s">
        <v>107</v>
      </c>
      <c r="H5" s="2">
        <v>7</v>
      </c>
      <c r="I5" s="2">
        <v>5</v>
      </c>
      <c r="J5" s="2">
        <v>6</v>
      </c>
      <c r="K5" s="2">
        <v>4</v>
      </c>
      <c r="L5" s="2"/>
      <c r="M5" s="2"/>
      <c r="N5" s="2">
        <f t="shared" si="0"/>
        <v>2</v>
      </c>
      <c r="O5" s="2">
        <f t="shared" si="1"/>
        <v>0</v>
      </c>
      <c r="P5" s="2" t="str">
        <f t="shared" si="2"/>
        <v>A</v>
      </c>
      <c r="Q5" s="2">
        <f t="shared" si="3"/>
        <v>13</v>
      </c>
      <c r="R5" s="2">
        <f t="shared" si="4"/>
        <v>9</v>
      </c>
      <c r="S5" s="2">
        <f t="shared" si="5"/>
        <v>4</v>
      </c>
      <c r="T5" s="2">
        <f t="shared" si="6"/>
        <v>0.08</v>
      </c>
      <c r="U5" s="2">
        <f t="shared" si="7"/>
        <v>0</v>
      </c>
      <c r="V5" s="2" t="b">
        <f t="shared" si="8"/>
        <v>0</v>
      </c>
      <c r="W5" s="5" t="s">
        <v>45</v>
      </c>
      <c r="X5" s="4">
        <v>0.02</v>
      </c>
      <c r="Z5" s="3">
        <v>2025</v>
      </c>
      <c r="AA5" s="2">
        <f t="shared" si="10"/>
        <v>2025</v>
      </c>
      <c r="AB5" s="2" t="b">
        <f t="shared" si="9"/>
        <v>1</v>
      </c>
    </row>
    <row r="6" spans="1:28" x14ac:dyDescent="0.3">
      <c r="A6" s="2">
        <v>5</v>
      </c>
      <c r="B6" s="27">
        <v>45779</v>
      </c>
      <c r="C6" s="2" t="s">
        <v>41</v>
      </c>
      <c r="D6" s="6" t="s">
        <v>110</v>
      </c>
      <c r="E6" s="6" t="s">
        <v>108</v>
      </c>
      <c r="F6" s="6" t="s">
        <v>113</v>
      </c>
      <c r="G6" s="6" t="s">
        <v>104</v>
      </c>
      <c r="H6" s="2">
        <v>6</v>
      </c>
      <c r="I6" s="2">
        <v>4</v>
      </c>
      <c r="J6" s="2">
        <v>6</v>
      </c>
      <c r="K6" s="2">
        <v>3</v>
      </c>
      <c r="L6" s="2"/>
      <c r="M6" s="2"/>
      <c r="N6" s="2">
        <f t="shared" si="0"/>
        <v>2</v>
      </c>
      <c r="O6" s="2">
        <f t="shared" si="1"/>
        <v>0</v>
      </c>
      <c r="P6" s="2" t="str">
        <f t="shared" si="2"/>
        <v>A</v>
      </c>
      <c r="Q6" s="2">
        <f t="shared" si="3"/>
        <v>12</v>
      </c>
      <c r="R6" s="2">
        <f t="shared" si="4"/>
        <v>7</v>
      </c>
      <c r="S6" s="2">
        <f t="shared" si="5"/>
        <v>5</v>
      </c>
      <c r="T6" s="2">
        <f t="shared" si="6"/>
        <v>0.1</v>
      </c>
      <c r="U6" s="2">
        <f t="shared" si="7"/>
        <v>0</v>
      </c>
      <c r="V6" s="2" t="b">
        <f t="shared" si="8"/>
        <v>0</v>
      </c>
      <c r="W6" s="5" t="s">
        <v>46</v>
      </c>
      <c r="X6" s="4">
        <v>0.5</v>
      </c>
      <c r="AA6" s="2">
        <f t="shared" si="10"/>
        <v>2025</v>
      </c>
      <c r="AB6" s="2" t="b">
        <f t="shared" si="9"/>
        <v>1</v>
      </c>
    </row>
    <row r="7" spans="1:28" x14ac:dyDescent="0.3">
      <c r="A7" s="2">
        <v>6</v>
      </c>
      <c r="B7" s="27">
        <v>45783</v>
      </c>
      <c r="C7" s="2" t="s">
        <v>41</v>
      </c>
      <c r="D7" s="6" t="s">
        <v>119</v>
      </c>
      <c r="E7" s="6" t="s">
        <v>106</v>
      </c>
      <c r="F7" s="6" t="s">
        <v>117</v>
      </c>
      <c r="G7" s="6" t="s">
        <v>113</v>
      </c>
      <c r="H7" s="2">
        <v>6</v>
      </c>
      <c r="I7" s="2">
        <v>2</v>
      </c>
      <c r="J7" s="2">
        <v>6</v>
      </c>
      <c r="K7" s="2">
        <v>3</v>
      </c>
      <c r="L7" s="2"/>
      <c r="M7" s="2"/>
      <c r="N7" s="2">
        <f t="shared" si="0"/>
        <v>2</v>
      </c>
      <c r="O7" s="2">
        <f t="shared" si="1"/>
        <v>0</v>
      </c>
      <c r="P7" s="2" t="str">
        <f t="shared" si="2"/>
        <v>A</v>
      </c>
      <c r="Q7" s="2">
        <f t="shared" si="3"/>
        <v>12</v>
      </c>
      <c r="R7" s="2">
        <f t="shared" si="4"/>
        <v>5</v>
      </c>
      <c r="S7" s="2">
        <f t="shared" si="5"/>
        <v>7</v>
      </c>
      <c r="T7" s="2">
        <f t="shared" si="6"/>
        <v>0.14000000000000001</v>
      </c>
      <c r="U7" s="2">
        <f t="shared" si="7"/>
        <v>0</v>
      </c>
      <c r="V7" s="2" t="b">
        <f t="shared" si="8"/>
        <v>1</v>
      </c>
      <c r="AA7" s="2">
        <f t="shared" si="10"/>
        <v>2025</v>
      </c>
      <c r="AB7" s="2" t="b">
        <f t="shared" si="9"/>
        <v>1</v>
      </c>
    </row>
    <row r="8" spans="1:28" x14ac:dyDescent="0.3">
      <c r="A8" s="2">
        <v>7</v>
      </c>
      <c r="B8" s="27">
        <v>45784</v>
      </c>
      <c r="C8" s="2" t="s">
        <v>41</v>
      </c>
      <c r="D8" s="6" t="s">
        <v>119</v>
      </c>
      <c r="E8" s="6" t="s">
        <v>110</v>
      </c>
      <c r="F8" s="6" t="s">
        <v>108</v>
      </c>
      <c r="G8" s="6" t="s">
        <v>107</v>
      </c>
      <c r="H8" s="2">
        <v>2</v>
      </c>
      <c r="I8" s="2">
        <v>6</v>
      </c>
      <c r="J8" s="2">
        <v>3</v>
      </c>
      <c r="K8" s="2">
        <v>6</v>
      </c>
      <c r="L8" s="2"/>
      <c r="M8" s="2"/>
      <c r="N8" s="2">
        <f t="shared" si="0"/>
        <v>0</v>
      </c>
      <c r="O8" s="2">
        <f t="shared" si="1"/>
        <v>2</v>
      </c>
      <c r="P8" s="2" t="str">
        <f t="shared" si="2"/>
        <v>B</v>
      </c>
      <c r="Q8" s="2">
        <f t="shared" si="3"/>
        <v>5</v>
      </c>
      <c r="R8" s="2">
        <f t="shared" si="4"/>
        <v>12</v>
      </c>
      <c r="S8" s="2">
        <f t="shared" si="5"/>
        <v>-7</v>
      </c>
      <c r="T8" s="2">
        <f t="shared" si="6"/>
        <v>0</v>
      </c>
      <c r="U8" s="2">
        <f t="shared" si="7"/>
        <v>0.14000000000000001</v>
      </c>
      <c r="V8" s="2" t="b">
        <f t="shared" si="8"/>
        <v>1</v>
      </c>
      <c r="AA8" s="2">
        <f t="shared" si="10"/>
        <v>2025</v>
      </c>
      <c r="AB8" s="2" t="b">
        <f t="shared" si="9"/>
        <v>1</v>
      </c>
    </row>
    <row r="9" spans="1:28" x14ac:dyDescent="0.3">
      <c r="A9" s="2">
        <v>8</v>
      </c>
      <c r="B9" s="27">
        <v>45785</v>
      </c>
      <c r="C9" s="2" t="s">
        <v>41</v>
      </c>
      <c r="D9" s="6" t="s">
        <v>108</v>
      </c>
      <c r="E9" s="6" t="s">
        <v>118</v>
      </c>
      <c r="F9" s="6" t="s">
        <v>112</v>
      </c>
      <c r="G9" s="6" t="s">
        <v>105</v>
      </c>
      <c r="H9" s="2">
        <v>7</v>
      </c>
      <c r="I9" s="2">
        <v>5</v>
      </c>
      <c r="J9" s="2">
        <v>4</v>
      </c>
      <c r="K9" s="2">
        <v>6</v>
      </c>
      <c r="L9" s="2">
        <v>6</v>
      </c>
      <c r="M9" s="2">
        <v>3</v>
      </c>
      <c r="N9" s="2">
        <f t="shared" si="0"/>
        <v>2</v>
      </c>
      <c r="O9" s="2">
        <f t="shared" si="1"/>
        <v>1</v>
      </c>
      <c r="P9" s="2" t="str">
        <f t="shared" si="2"/>
        <v>A</v>
      </c>
      <c r="Q9" s="2">
        <f t="shared" si="3"/>
        <v>17</v>
      </c>
      <c r="R9" s="2">
        <f t="shared" si="4"/>
        <v>14</v>
      </c>
      <c r="S9" s="2">
        <f t="shared" si="5"/>
        <v>3</v>
      </c>
      <c r="T9" s="2">
        <f t="shared" si="6"/>
        <v>0.06</v>
      </c>
      <c r="U9" s="2">
        <f t="shared" si="7"/>
        <v>0</v>
      </c>
      <c r="V9" s="2" t="b">
        <f t="shared" si="8"/>
        <v>0</v>
      </c>
      <c r="AA9" s="2">
        <f t="shared" si="10"/>
        <v>2025</v>
      </c>
      <c r="AB9" s="2" t="b">
        <f t="shared" si="9"/>
        <v>1</v>
      </c>
    </row>
    <row r="10" spans="1:28" x14ac:dyDescent="0.3">
      <c r="A10" s="2">
        <v>9</v>
      </c>
      <c r="B10" s="27">
        <v>45786</v>
      </c>
      <c r="C10" s="2" t="s">
        <v>41</v>
      </c>
      <c r="D10" s="6" t="s">
        <v>119</v>
      </c>
      <c r="E10" s="6" t="s">
        <v>105</v>
      </c>
      <c r="F10" s="6" t="s">
        <v>108</v>
      </c>
      <c r="G10" s="6" t="s">
        <v>117</v>
      </c>
      <c r="H10" s="2">
        <v>3</v>
      </c>
      <c r="I10" s="2">
        <v>6</v>
      </c>
      <c r="J10" s="2">
        <v>7</v>
      </c>
      <c r="K10" s="2">
        <v>6</v>
      </c>
      <c r="L10" s="2">
        <v>3</v>
      </c>
      <c r="M10" s="2">
        <v>6</v>
      </c>
      <c r="N10" s="2">
        <f t="shared" si="0"/>
        <v>1</v>
      </c>
      <c r="O10" s="2">
        <f t="shared" si="1"/>
        <v>2</v>
      </c>
      <c r="P10" s="2" t="str">
        <f t="shared" si="2"/>
        <v>B</v>
      </c>
      <c r="Q10" s="2">
        <f t="shared" si="3"/>
        <v>13</v>
      </c>
      <c r="R10" s="2">
        <f t="shared" si="4"/>
        <v>18</v>
      </c>
      <c r="S10" s="2">
        <f t="shared" si="5"/>
        <v>-5</v>
      </c>
      <c r="T10" s="2">
        <f t="shared" si="6"/>
        <v>0</v>
      </c>
      <c r="U10" s="2">
        <f t="shared" si="7"/>
        <v>0.1</v>
      </c>
      <c r="V10" s="2" t="b">
        <f t="shared" si="8"/>
        <v>1</v>
      </c>
      <c r="AA10" s="2">
        <f t="shared" si="10"/>
        <v>2025</v>
      </c>
      <c r="AB10" s="2" t="b">
        <f t="shared" si="9"/>
        <v>1</v>
      </c>
    </row>
    <row r="11" spans="1:28" x14ac:dyDescent="0.3">
      <c r="A11" s="2">
        <v>10</v>
      </c>
      <c r="B11" s="27">
        <v>45791</v>
      </c>
      <c r="C11" s="2" t="s">
        <v>41</v>
      </c>
      <c r="D11" s="6" t="s">
        <v>109</v>
      </c>
      <c r="E11" s="6" t="s">
        <v>105</v>
      </c>
      <c r="F11" s="6" t="s">
        <v>117</v>
      </c>
      <c r="G11" s="6" t="s">
        <v>119</v>
      </c>
      <c r="H11" s="2">
        <v>6</v>
      </c>
      <c r="I11" s="2">
        <v>1</v>
      </c>
      <c r="J11" s="2">
        <v>6</v>
      </c>
      <c r="K11" s="2">
        <v>1</v>
      </c>
      <c r="L11" s="2"/>
      <c r="M11" s="2"/>
      <c r="N11" s="2">
        <f t="shared" si="0"/>
        <v>2</v>
      </c>
      <c r="O11" s="2">
        <f t="shared" si="1"/>
        <v>0</v>
      </c>
      <c r="P11" s="2" t="str">
        <f t="shared" si="2"/>
        <v>A</v>
      </c>
      <c r="Q11" s="2">
        <f t="shared" si="3"/>
        <v>12</v>
      </c>
      <c r="R11" s="2">
        <f t="shared" si="4"/>
        <v>2</v>
      </c>
      <c r="S11" s="2">
        <f t="shared" si="5"/>
        <v>10</v>
      </c>
      <c r="T11" s="2">
        <f t="shared" si="6"/>
        <v>0.2</v>
      </c>
      <c r="U11" s="2">
        <f t="shared" si="7"/>
        <v>0</v>
      </c>
      <c r="V11" s="2" t="b">
        <f t="shared" si="8"/>
        <v>1</v>
      </c>
      <c r="AA11" s="2">
        <f t="shared" si="10"/>
        <v>2025</v>
      </c>
      <c r="AB11" s="2" t="b">
        <f t="shared" si="9"/>
        <v>1</v>
      </c>
    </row>
    <row r="12" spans="1:28" x14ac:dyDescent="0.3">
      <c r="A12" s="2">
        <v>11</v>
      </c>
      <c r="B12" s="27">
        <v>45791</v>
      </c>
      <c r="C12" s="2" t="s">
        <v>41</v>
      </c>
      <c r="D12" s="6" t="s">
        <v>109</v>
      </c>
      <c r="E12" s="6" t="s">
        <v>117</v>
      </c>
      <c r="F12" s="6" t="s">
        <v>105</v>
      </c>
      <c r="G12" s="6" t="s">
        <v>119</v>
      </c>
      <c r="H12" s="2">
        <v>7</v>
      </c>
      <c r="I12" s="2">
        <v>5</v>
      </c>
      <c r="J12" s="2">
        <v>6</v>
      </c>
      <c r="K12" s="2">
        <v>2</v>
      </c>
      <c r="L12" s="2"/>
      <c r="M12" s="2"/>
      <c r="N12" s="2">
        <f t="shared" si="0"/>
        <v>2</v>
      </c>
      <c r="O12" s="2">
        <f t="shared" si="1"/>
        <v>0</v>
      </c>
      <c r="P12" s="2" t="str">
        <f t="shared" si="2"/>
        <v>A</v>
      </c>
      <c r="Q12" s="2">
        <f t="shared" si="3"/>
        <v>13</v>
      </c>
      <c r="R12" s="2">
        <f t="shared" si="4"/>
        <v>7</v>
      </c>
      <c r="S12" s="2">
        <f t="shared" si="5"/>
        <v>6</v>
      </c>
      <c r="T12" s="2">
        <f t="shared" si="6"/>
        <v>0.12</v>
      </c>
      <c r="U12" s="2">
        <f t="shared" si="7"/>
        <v>0</v>
      </c>
      <c r="V12" s="2" t="b">
        <f t="shared" si="8"/>
        <v>1</v>
      </c>
      <c r="AA12" s="2">
        <f t="shared" si="10"/>
        <v>2025</v>
      </c>
      <c r="AB12" s="2" t="b">
        <f t="shared" si="9"/>
        <v>1</v>
      </c>
    </row>
    <row r="13" spans="1:28" x14ac:dyDescent="0.3">
      <c r="A13" s="2">
        <v>12</v>
      </c>
      <c r="B13" s="27">
        <v>45792</v>
      </c>
      <c r="C13" s="2" t="s">
        <v>41</v>
      </c>
      <c r="D13" s="6" t="s">
        <v>105</v>
      </c>
      <c r="E13" s="6" t="s">
        <v>118</v>
      </c>
      <c r="F13" s="6" t="s">
        <v>110</v>
      </c>
      <c r="G13" s="6" t="s">
        <v>115</v>
      </c>
      <c r="H13" s="2">
        <v>3</v>
      </c>
      <c r="I13" s="2">
        <v>6</v>
      </c>
      <c r="J13" s="2">
        <v>2</v>
      </c>
      <c r="K13" s="2">
        <v>6</v>
      </c>
      <c r="L13" s="2"/>
      <c r="M13" s="2"/>
      <c r="N13" s="2">
        <f t="shared" si="0"/>
        <v>0</v>
      </c>
      <c r="O13" s="2">
        <f t="shared" si="1"/>
        <v>2</v>
      </c>
      <c r="P13" s="2" t="str">
        <f t="shared" si="2"/>
        <v>B</v>
      </c>
      <c r="Q13" s="2">
        <f t="shared" si="3"/>
        <v>5</v>
      </c>
      <c r="R13" s="2">
        <f t="shared" si="4"/>
        <v>12</v>
      </c>
      <c r="S13" s="2">
        <f t="shared" si="5"/>
        <v>-7</v>
      </c>
      <c r="T13" s="2">
        <f t="shared" si="6"/>
        <v>0</v>
      </c>
      <c r="U13" s="2">
        <f t="shared" si="7"/>
        <v>0.14000000000000001</v>
      </c>
      <c r="V13" s="2" t="b">
        <f t="shared" si="8"/>
        <v>0</v>
      </c>
      <c r="AA13" s="2">
        <f t="shared" si="10"/>
        <v>2025</v>
      </c>
      <c r="AB13" s="2" t="b">
        <f t="shared" si="9"/>
        <v>1</v>
      </c>
    </row>
    <row r="14" spans="1:28" x14ac:dyDescent="0.3">
      <c r="A14" s="2">
        <v>13</v>
      </c>
      <c r="B14" s="27">
        <v>45797</v>
      </c>
      <c r="C14" s="2" t="s">
        <v>41</v>
      </c>
      <c r="D14" s="6" t="s">
        <v>113</v>
      </c>
      <c r="E14" s="6" t="s">
        <v>104</v>
      </c>
      <c r="F14" s="6" t="s">
        <v>108</v>
      </c>
      <c r="G14" s="6" t="s">
        <v>117</v>
      </c>
      <c r="H14" s="2">
        <v>6</v>
      </c>
      <c r="I14" s="2">
        <v>2</v>
      </c>
      <c r="J14" s="2">
        <v>6</v>
      </c>
      <c r="K14" s="2">
        <v>7</v>
      </c>
      <c r="L14" s="2">
        <v>6</v>
      </c>
      <c r="M14" s="2">
        <v>3</v>
      </c>
      <c r="N14" s="2">
        <f t="shared" si="0"/>
        <v>2</v>
      </c>
      <c r="O14" s="2">
        <f t="shared" si="1"/>
        <v>1</v>
      </c>
      <c r="P14" s="2" t="str">
        <f t="shared" si="2"/>
        <v>A</v>
      </c>
      <c r="Q14" s="2">
        <f t="shared" si="3"/>
        <v>18</v>
      </c>
      <c r="R14" s="2">
        <f t="shared" si="4"/>
        <v>12</v>
      </c>
      <c r="S14" s="2">
        <f t="shared" si="5"/>
        <v>6</v>
      </c>
      <c r="T14" s="2">
        <f t="shared" si="6"/>
        <v>0.12</v>
      </c>
      <c r="U14" s="2">
        <f t="shared" si="7"/>
        <v>0</v>
      </c>
      <c r="V14" s="2" t="b">
        <f t="shared" si="8"/>
        <v>0</v>
      </c>
      <c r="AA14" s="2">
        <f t="shared" si="10"/>
        <v>2025</v>
      </c>
      <c r="AB14" s="2" t="b">
        <f t="shared" si="9"/>
        <v>1</v>
      </c>
    </row>
    <row r="15" spans="1:28" x14ac:dyDescent="0.3">
      <c r="A15" s="2">
        <v>14</v>
      </c>
      <c r="B15" s="27">
        <v>45799</v>
      </c>
      <c r="C15" s="2" t="s">
        <v>41</v>
      </c>
      <c r="D15" s="6" t="s">
        <v>118</v>
      </c>
      <c r="E15" s="6" t="s">
        <v>115</v>
      </c>
      <c r="F15" s="6" t="s">
        <v>108</v>
      </c>
      <c r="G15" s="6" t="s">
        <v>107</v>
      </c>
      <c r="H15" s="2">
        <v>2</v>
      </c>
      <c r="I15" s="2">
        <v>6</v>
      </c>
      <c r="J15" s="2">
        <v>1</v>
      </c>
      <c r="K15" s="2">
        <v>6</v>
      </c>
      <c r="L15" s="2"/>
      <c r="M15" s="2"/>
      <c r="N15" s="2">
        <f t="shared" si="0"/>
        <v>0</v>
      </c>
      <c r="O15" s="2">
        <f t="shared" si="1"/>
        <v>2</v>
      </c>
      <c r="P15" s="2" t="str">
        <f t="shared" si="2"/>
        <v>B</v>
      </c>
      <c r="Q15" s="2">
        <f t="shared" si="3"/>
        <v>3</v>
      </c>
      <c r="R15" s="2">
        <f t="shared" si="4"/>
        <v>12</v>
      </c>
      <c r="S15" s="2">
        <f t="shared" si="5"/>
        <v>-9</v>
      </c>
      <c r="T15" s="2">
        <f t="shared" si="6"/>
        <v>0</v>
      </c>
      <c r="U15" s="2">
        <f t="shared" si="7"/>
        <v>0.18</v>
      </c>
      <c r="V15" s="2" t="b">
        <f t="shared" si="8"/>
        <v>0</v>
      </c>
      <c r="AA15" s="2">
        <f t="shared" si="10"/>
        <v>2025</v>
      </c>
      <c r="AB15" s="2" t="b">
        <f t="shared" si="9"/>
        <v>1</v>
      </c>
    </row>
    <row r="16" spans="1:28" x14ac:dyDescent="0.3">
      <c r="A16" s="2">
        <v>15</v>
      </c>
      <c r="B16" s="27">
        <v>45799</v>
      </c>
      <c r="C16" s="2" t="s">
        <v>41</v>
      </c>
      <c r="D16" s="6" t="s">
        <v>108</v>
      </c>
      <c r="E16" s="6" t="s">
        <v>105</v>
      </c>
      <c r="F16" s="6" t="s">
        <v>113</v>
      </c>
      <c r="G16" s="6" t="s">
        <v>106</v>
      </c>
      <c r="H16" s="2">
        <v>6</v>
      </c>
      <c r="I16" s="2">
        <v>7</v>
      </c>
      <c r="J16" s="2">
        <v>0</v>
      </c>
      <c r="K16" s="2">
        <v>6</v>
      </c>
      <c r="L16" s="2"/>
      <c r="M16" s="2"/>
      <c r="N16" s="2">
        <f t="shared" si="0"/>
        <v>0</v>
      </c>
      <c r="O16" s="2">
        <f t="shared" si="1"/>
        <v>2</v>
      </c>
      <c r="P16" s="2" t="str">
        <f t="shared" si="2"/>
        <v>B</v>
      </c>
      <c r="Q16" s="2">
        <f t="shared" si="3"/>
        <v>6</v>
      </c>
      <c r="R16" s="2">
        <f t="shared" si="4"/>
        <v>13</v>
      </c>
      <c r="S16" s="2">
        <f t="shared" si="5"/>
        <v>-7</v>
      </c>
      <c r="T16" s="2">
        <f t="shared" si="6"/>
        <v>0</v>
      </c>
      <c r="U16" s="2">
        <f t="shared" si="7"/>
        <v>0.14000000000000001</v>
      </c>
      <c r="V16" s="2" t="b">
        <f t="shared" si="8"/>
        <v>0</v>
      </c>
      <c r="AA16" s="2">
        <f t="shared" si="10"/>
        <v>2025</v>
      </c>
      <c r="AB16" s="2" t="b">
        <f t="shared" si="9"/>
        <v>1</v>
      </c>
    </row>
    <row r="17" spans="1:28" x14ac:dyDescent="0.3">
      <c r="A17" s="2">
        <v>16</v>
      </c>
      <c r="B17" s="27">
        <v>45800</v>
      </c>
      <c r="C17" s="2" t="s">
        <v>41</v>
      </c>
      <c r="D17" s="6" t="s">
        <v>108</v>
      </c>
      <c r="E17" s="6" t="s">
        <v>105</v>
      </c>
      <c r="F17" s="6" t="s">
        <v>104</v>
      </c>
      <c r="G17" s="6" t="s">
        <v>117</v>
      </c>
      <c r="H17" s="2">
        <v>6</v>
      </c>
      <c r="I17" s="2">
        <v>4</v>
      </c>
      <c r="J17" s="2">
        <v>7</v>
      </c>
      <c r="K17" s="2">
        <v>6</v>
      </c>
      <c r="L17" s="2"/>
      <c r="M17" s="2"/>
      <c r="N17" s="2">
        <f t="shared" si="0"/>
        <v>2</v>
      </c>
      <c r="O17" s="2">
        <f t="shared" si="1"/>
        <v>0</v>
      </c>
      <c r="P17" s="2" t="str">
        <f t="shared" si="2"/>
        <v>A</v>
      </c>
      <c r="Q17" s="2">
        <f t="shared" si="3"/>
        <v>13</v>
      </c>
      <c r="R17" s="2">
        <f t="shared" si="4"/>
        <v>10</v>
      </c>
      <c r="S17" s="2">
        <f t="shared" si="5"/>
        <v>3</v>
      </c>
      <c r="T17" s="2">
        <f t="shared" si="6"/>
        <v>0.06</v>
      </c>
      <c r="U17" s="2">
        <f t="shared" si="7"/>
        <v>0</v>
      </c>
      <c r="V17" s="2" t="b">
        <f t="shared" si="8"/>
        <v>0</v>
      </c>
      <c r="AA17" s="2">
        <f t="shared" si="10"/>
        <v>2025</v>
      </c>
      <c r="AB17" s="2" t="b">
        <f t="shared" si="9"/>
        <v>1</v>
      </c>
    </row>
    <row r="18" spans="1:28" x14ac:dyDescent="0.3">
      <c r="A18" s="2">
        <v>17</v>
      </c>
      <c r="B18" s="27">
        <v>45804</v>
      </c>
      <c r="C18" s="2" t="s">
        <v>41</v>
      </c>
      <c r="D18" s="6" t="s">
        <v>109</v>
      </c>
      <c r="E18" s="6" t="s">
        <v>117</v>
      </c>
      <c r="F18" s="6" t="s">
        <v>116</v>
      </c>
      <c r="G18" s="6" t="s">
        <v>106</v>
      </c>
      <c r="H18" s="2">
        <v>4</v>
      </c>
      <c r="I18" s="2">
        <v>6</v>
      </c>
      <c r="J18" s="2">
        <v>4</v>
      </c>
      <c r="K18" s="2">
        <v>6</v>
      </c>
      <c r="L18" s="2"/>
      <c r="M18" s="2"/>
      <c r="N18" s="2">
        <f t="shared" si="0"/>
        <v>0</v>
      </c>
      <c r="O18" s="2">
        <f t="shared" si="1"/>
        <v>2</v>
      </c>
      <c r="P18" s="2" t="str">
        <f t="shared" si="2"/>
        <v>B</v>
      </c>
      <c r="Q18" s="2">
        <f t="shared" si="3"/>
        <v>8</v>
      </c>
      <c r="R18" s="2">
        <f t="shared" si="4"/>
        <v>12</v>
      </c>
      <c r="S18" s="2">
        <f t="shared" si="5"/>
        <v>-4</v>
      </c>
      <c r="T18" s="2">
        <f t="shared" si="6"/>
        <v>0</v>
      </c>
      <c r="U18" s="2">
        <f t="shared" si="7"/>
        <v>0.08</v>
      </c>
      <c r="V18" s="2" t="b">
        <f t="shared" si="8"/>
        <v>0</v>
      </c>
      <c r="AA18" s="2">
        <f t="shared" si="10"/>
        <v>2025</v>
      </c>
      <c r="AB18" s="2" t="b">
        <f t="shared" si="9"/>
        <v>1</v>
      </c>
    </row>
    <row r="19" spans="1:28" x14ac:dyDescent="0.3">
      <c r="A19" s="2">
        <v>18</v>
      </c>
      <c r="B19" s="27">
        <v>45806</v>
      </c>
      <c r="C19" s="2" t="s">
        <v>41</v>
      </c>
      <c r="D19" s="6" t="s">
        <v>105</v>
      </c>
      <c r="E19" s="6" t="s">
        <v>109</v>
      </c>
      <c r="F19" s="6" t="s">
        <v>118</v>
      </c>
      <c r="G19" s="6" t="s">
        <v>108</v>
      </c>
      <c r="H19" s="2">
        <v>7</v>
      </c>
      <c r="I19" s="2">
        <v>5</v>
      </c>
      <c r="J19" s="2">
        <v>6</v>
      </c>
      <c r="K19" s="2">
        <v>1</v>
      </c>
      <c r="L19" s="2"/>
      <c r="M19" s="2"/>
      <c r="N19" s="2">
        <f t="shared" si="0"/>
        <v>2</v>
      </c>
      <c r="O19" s="2">
        <f t="shared" si="1"/>
        <v>0</v>
      </c>
      <c r="P19" s="2" t="str">
        <f t="shared" si="2"/>
        <v>A</v>
      </c>
      <c r="Q19" s="2">
        <f t="shared" si="3"/>
        <v>13</v>
      </c>
      <c r="R19" s="2">
        <f t="shared" si="4"/>
        <v>6</v>
      </c>
      <c r="S19" s="2">
        <f t="shared" si="5"/>
        <v>7</v>
      </c>
      <c r="T19" s="2">
        <f t="shared" si="6"/>
        <v>0.14000000000000001</v>
      </c>
      <c r="U19" s="2">
        <f t="shared" si="7"/>
        <v>0</v>
      </c>
      <c r="V19" s="2" t="b">
        <f t="shared" si="8"/>
        <v>0</v>
      </c>
      <c r="AA19" s="2">
        <f t="shared" si="10"/>
        <v>2025</v>
      </c>
      <c r="AB19" s="2" t="b">
        <f t="shared" si="9"/>
        <v>1</v>
      </c>
    </row>
    <row r="20" spans="1:28" x14ac:dyDescent="0.3">
      <c r="A20" s="2">
        <v>19</v>
      </c>
      <c r="B20" s="27">
        <v>45806</v>
      </c>
      <c r="C20" s="2" t="s">
        <v>41</v>
      </c>
      <c r="D20" s="6" t="s">
        <v>119</v>
      </c>
      <c r="E20" s="6" t="s">
        <v>110</v>
      </c>
      <c r="F20" s="6" t="s">
        <v>107</v>
      </c>
      <c r="G20" s="6" t="s">
        <v>104</v>
      </c>
      <c r="H20" s="2">
        <v>1</v>
      </c>
      <c r="I20" s="2">
        <v>6</v>
      </c>
      <c r="J20" s="2">
        <v>4</v>
      </c>
      <c r="K20" s="2">
        <v>6</v>
      </c>
      <c r="L20" s="2"/>
      <c r="M20" s="2"/>
      <c r="N20" s="2">
        <f t="shared" si="0"/>
        <v>0</v>
      </c>
      <c r="O20" s="2">
        <f t="shared" si="1"/>
        <v>2</v>
      </c>
      <c r="P20" s="2" t="str">
        <f t="shared" si="2"/>
        <v>B</v>
      </c>
      <c r="Q20" s="2">
        <f t="shared" si="3"/>
        <v>5</v>
      </c>
      <c r="R20" s="2">
        <f t="shared" si="4"/>
        <v>12</v>
      </c>
      <c r="S20" s="2">
        <f t="shared" si="5"/>
        <v>-7</v>
      </c>
      <c r="T20" s="2">
        <f t="shared" si="6"/>
        <v>0</v>
      </c>
      <c r="U20" s="2">
        <f t="shared" si="7"/>
        <v>0.14000000000000001</v>
      </c>
      <c r="V20" s="2" t="b">
        <f t="shared" si="8"/>
        <v>1</v>
      </c>
      <c r="AA20" s="2">
        <f t="shared" si="10"/>
        <v>2025</v>
      </c>
      <c r="AB20" s="2" t="b">
        <f t="shared" si="9"/>
        <v>1</v>
      </c>
    </row>
    <row r="21" spans="1:28" x14ac:dyDescent="0.3">
      <c r="A21" s="2">
        <v>20</v>
      </c>
      <c r="B21" s="27">
        <v>45811</v>
      </c>
      <c r="C21" s="2" t="s">
        <v>41</v>
      </c>
      <c r="D21" s="6" t="s">
        <v>105</v>
      </c>
      <c r="E21" s="6" t="s">
        <v>104</v>
      </c>
      <c r="F21" s="6" t="s">
        <v>110</v>
      </c>
      <c r="G21" s="6" t="s">
        <v>113</v>
      </c>
      <c r="H21" s="2">
        <v>6</v>
      </c>
      <c r="I21" s="2">
        <v>4</v>
      </c>
      <c r="J21" s="2">
        <v>6</v>
      </c>
      <c r="K21" s="2">
        <v>2</v>
      </c>
      <c r="L21" s="2"/>
      <c r="M21" s="2"/>
      <c r="N21" s="2">
        <f t="shared" si="0"/>
        <v>2</v>
      </c>
      <c r="O21" s="2">
        <f t="shared" si="1"/>
        <v>0</v>
      </c>
      <c r="P21" s="2" t="str">
        <f t="shared" si="2"/>
        <v>A</v>
      </c>
      <c r="Q21" s="2">
        <f t="shared" si="3"/>
        <v>12</v>
      </c>
      <c r="R21" s="2">
        <f t="shared" si="4"/>
        <v>6</v>
      </c>
      <c r="S21" s="2">
        <f t="shared" si="5"/>
        <v>6</v>
      </c>
      <c r="T21" s="2">
        <f t="shared" si="6"/>
        <v>0.12</v>
      </c>
      <c r="U21" s="2">
        <f t="shared" si="7"/>
        <v>0</v>
      </c>
      <c r="V21" s="2" t="b">
        <f t="shared" si="8"/>
        <v>0</v>
      </c>
      <c r="AA21" s="2">
        <f t="shared" si="10"/>
        <v>2025</v>
      </c>
      <c r="AB21" s="2" t="b">
        <f t="shared" si="9"/>
        <v>1</v>
      </c>
    </row>
    <row r="22" spans="1:28" x14ac:dyDescent="0.3">
      <c r="A22" s="2">
        <v>21</v>
      </c>
      <c r="B22" s="27">
        <v>45811</v>
      </c>
      <c r="C22" s="2" t="s">
        <v>41</v>
      </c>
      <c r="D22" s="6" t="s">
        <v>116</v>
      </c>
      <c r="E22" s="6" t="s">
        <v>117</v>
      </c>
      <c r="F22" s="6" t="s">
        <v>115</v>
      </c>
      <c r="G22" s="6" t="s">
        <v>112</v>
      </c>
      <c r="H22" s="2">
        <v>2</v>
      </c>
      <c r="I22" s="2">
        <v>6</v>
      </c>
      <c r="J22" s="2">
        <v>3</v>
      </c>
      <c r="K22" s="2">
        <v>6</v>
      </c>
      <c r="L22" s="2"/>
      <c r="M22" s="2"/>
      <c r="N22" s="2">
        <f t="shared" si="0"/>
        <v>0</v>
      </c>
      <c r="O22" s="2">
        <f t="shared" si="1"/>
        <v>2</v>
      </c>
      <c r="P22" s="2" t="str">
        <f t="shared" si="2"/>
        <v>B</v>
      </c>
      <c r="Q22" s="2">
        <f t="shared" si="3"/>
        <v>5</v>
      </c>
      <c r="R22" s="2">
        <f t="shared" si="4"/>
        <v>12</v>
      </c>
      <c r="S22" s="2">
        <f t="shared" si="5"/>
        <v>-7</v>
      </c>
      <c r="T22" s="2">
        <f t="shared" si="6"/>
        <v>0</v>
      </c>
      <c r="U22" s="2">
        <f t="shared" si="7"/>
        <v>0.14000000000000001</v>
      </c>
      <c r="V22" s="2" t="b">
        <f t="shared" si="8"/>
        <v>0</v>
      </c>
      <c r="AA22" s="2">
        <f t="shared" si="10"/>
        <v>2025</v>
      </c>
      <c r="AB22" s="2" t="b">
        <f t="shared" si="9"/>
        <v>1</v>
      </c>
    </row>
    <row r="23" spans="1:28" x14ac:dyDescent="0.3">
      <c r="A23" s="2">
        <v>22</v>
      </c>
      <c r="B23" s="27">
        <v>45814</v>
      </c>
      <c r="C23" s="2" t="s">
        <v>41</v>
      </c>
      <c r="D23" s="6" t="s">
        <v>119</v>
      </c>
      <c r="E23" s="6" t="s">
        <v>108</v>
      </c>
      <c r="F23" s="6" t="s">
        <v>117</v>
      </c>
      <c r="G23" s="6" t="s">
        <v>116</v>
      </c>
      <c r="H23" s="2">
        <v>6</v>
      </c>
      <c r="I23" s="2">
        <v>3</v>
      </c>
      <c r="J23" s="2">
        <v>6</v>
      </c>
      <c r="K23" s="2">
        <v>3</v>
      </c>
      <c r="L23" s="2"/>
      <c r="M23" s="2"/>
      <c r="N23" s="2">
        <f t="shared" si="0"/>
        <v>2</v>
      </c>
      <c r="O23" s="2">
        <f t="shared" si="1"/>
        <v>0</v>
      </c>
      <c r="P23" s="2" t="str">
        <f t="shared" si="2"/>
        <v>A</v>
      </c>
      <c r="Q23" s="2">
        <f t="shared" si="3"/>
        <v>12</v>
      </c>
      <c r="R23" s="2">
        <f t="shared" si="4"/>
        <v>6</v>
      </c>
      <c r="S23" s="2">
        <f t="shared" si="5"/>
        <v>6</v>
      </c>
      <c r="T23" s="2">
        <f t="shared" si="6"/>
        <v>0.12</v>
      </c>
      <c r="U23" s="2">
        <f t="shared" si="7"/>
        <v>0</v>
      </c>
      <c r="V23" s="2" t="b">
        <f t="shared" si="8"/>
        <v>1</v>
      </c>
      <c r="AA23" s="2">
        <f t="shared" si="10"/>
        <v>2025</v>
      </c>
      <c r="AB23" s="2" t="b">
        <f t="shared" si="9"/>
        <v>1</v>
      </c>
    </row>
    <row r="24" spans="1:28" x14ac:dyDescent="0.3">
      <c r="A24" s="2">
        <v>23</v>
      </c>
      <c r="B24" s="27">
        <v>45814</v>
      </c>
      <c r="C24" s="2" t="s">
        <v>41</v>
      </c>
      <c r="D24" s="6" t="s">
        <v>105</v>
      </c>
      <c r="E24" s="6" t="s">
        <v>117</v>
      </c>
      <c r="F24" s="6" t="s">
        <v>115</v>
      </c>
      <c r="G24" s="6" t="s">
        <v>113</v>
      </c>
      <c r="H24" s="2">
        <v>6</v>
      </c>
      <c r="I24" s="2">
        <v>1</v>
      </c>
      <c r="J24" s="2">
        <v>6</v>
      </c>
      <c r="K24" s="2">
        <v>3</v>
      </c>
      <c r="L24" s="2"/>
      <c r="M24" s="2"/>
      <c r="N24" s="2">
        <f t="shared" si="0"/>
        <v>2</v>
      </c>
      <c r="O24" s="2">
        <f t="shared" si="1"/>
        <v>0</v>
      </c>
      <c r="P24" s="2" t="str">
        <f t="shared" si="2"/>
        <v>A</v>
      </c>
      <c r="Q24" s="2">
        <f t="shared" si="3"/>
        <v>12</v>
      </c>
      <c r="R24" s="2">
        <f t="shared" si="4"/>
        <v>4</v>
      </c>
      <c r="S24" s="2">
        <f t="shared" si="5"/>
        <v>8</v>
      </c>
      <c r="T24" s="2">
        <f t="shared" si="6"/>
        <v>0.16</v>
      </c>
      <c r="U24" s="2">
        <f t="shared" si="7"/>
        <v>0</v>
      </c>
      <c r="V24" s="2" t="b">
        <f t="shared" si="8"/>
        <v>0</v>
      </c>
      <c r="AA24" s="2">
        <f t="shared" si="10"/>
        <v>2025</v>
      </c>
      <c r="AB24" s="2" t="b">
        <f t="shared" si="9"/>
        <v>1</v>
      </c>
    </row>
    <row r="25" spans="1:28" x14ac:dyDescent="0.3">
      <c r="A25" s="2">
        <v>24</v>
      </c>
      <c r="B25" s="27">
        <v>45819</v>
      </c>
      <c r="C25" s="2" t="s">
        <v>41</v>
      </c>
      <c r="D25" s="6" t="s">
        <v>108</v>
      </c>
      <c r="E25" s="6" t="s">
        <v>113</v>
      </c>
      <c r="F25" s="6" t="s">
        <v>105</v>
      </c>
      <c r="G25" s="6" t="s">
        <v>117</v>
      </c>
      <c r="H25" s="2">
        <v>6</v>
      </c>
      <c r="I25" s="2">
        <v>2</v>
      </c>
      <c r="J25" s="2">
        <v>4</v>
      </c>
      <c r="K25" s="2">
        <v>6</v>
      </c>
      <c r="L25" s="2">
        <v>6</v>
      </c>
      <c r="M25" s="2">
        <v>2</v>
      </c>
      <c r="N25" s="2">
        <f t="shared" si="0"/>
        <v>2</v>
      </c>
      <c r="O25" s="2">
        <f t="shared" si="1"/>
        <v>1</v>
      </c>
      <c r="P25" s="2" t="str">
        <f t="shared" si="2"/>
        <v>A</v>
      </c>
      <c r="Q25" s="2">
        <f t="shared" si="3"/>
        <v>16</v>
      </c>
      <c r="R25" s="2">
        <f t="shared" si="4"/>
        <v>10</v>
      </c>
      <c r="S25" s="2">
        <f t="shared" si="5"/>
        <v>6</v>
      </c>
      <c r="T25" s="2">
        <f t="shared" si="6"/>
        <v>0.12</v>
      </c>
      <c r="U25" s="2">
        <f t="shared" si="7"/>
        <v>0</v>
      </c>
      <c r="V25" s="2" t="b">
        <f t="shared" si="8"/>
        <v>0</v>
      </c>
      <c r="AA25" s="2">
        <f t="shared" si="10"/>
        <v>2025</v>
      </c>
      <c r="AB25" s="2" t="b">
        <f t="shared" si="9"/>
        <v>1</v>
      </c>
    </row>
    <row r="26" spans="1:28" x14ac:dyDescent="0.3">
      <c r="A26" s="2">
        <v>25</v>
      </c>
      <c r="B26" s="27">
        <v>45821</v>
      </c>
      <c r="C26" s="2" t="s">
        <v>41</v>
      </c>
      <c r="D26" s="6" t="s">
        <v>105</v>
      </c>
      <c r="E26" s="6" t="s">
        <v>113</v>
      </c>
      <c r="F26" s="6" t="s">
        <v>106</v>
      </c>
      <c r="G26" s="6" t="s">
        <v>117</v>
      </c>
      <c r="H26" s="2">
        <v>3</v>
      </c>
      <c r="I26" s="2">
        <v>6</v>
      </c>
      <c r="J26" s="2">
        <v>2</v>
      </c>
      <c r="K26" s="2">
        <v>6</v>
      </c>
      <c r="L26" s="2"/>
      <c r="M26" s="2"/>
      <c r="N26" s="2">
        <f t="shared" si="0"/>
        <v>0</v>
      </c>
      <c r="O26" s="2">
        <f t="shared" si="1"/>
        <v>2</v>
      </c>
      <c r="P26" s="2" t="str">
        <f t="shared" si="2"/>
        <v>B</v>
      </c>
      <c r="Q26" s="2">
        <f t="shared" si="3"/>
        <v>5</v>
      </c>
      <c r="R26" s="2">
        <f t="shared" si="4"/>
        <v>12</v>
      </c>
      <c r="S26" s="2">
        <f t="shared" si="5"/>
        <v>-7</v>
      </c>
      <c r="T26" s="2">
        <f t="shared" si="6"/>
        <v>0</v>
      </c>
      <c r="U26" s="2">
        <f t="shared" si="7"/>
        <v>0.14000000000000001</v>
      </c>
      <c r="V26" s="2" t="b">
        <f t="shared" si="8"/>
        <v>0</v>
      </c>
      <c r="AA26" s="2">
        <f t="shared" si="10"/>
        <v>2025</v>
      </c>
      <c r="AB26" s="2" t="b">
        <f t="shared" si="9"/>
        <v>1</v>
      </c>
    </row>
    <row r="27" spans="1:28" x14ac:dyDescent="0.3">
      <c r="A27" s="2">
        <v>26</v>
      </c>
      <c r="B27" s="27">
        <v>45828</v>
      </c>
      <c r="C27" s="2" t="s">
        <v>41</v>
      </c>
      <c r="D27" s="6" t="s">
        <v>116</v>
      </c>
      <c r="E27" s="6" t="s">
        <v>108</v>
      </c>
      <c r="F27" s="6" t="s">
        <v>115</v>
      </c>
      <c r="G27" s="6" t="s">
        <v>117</v>
      </c>
      <c r="H27" s="2">
        <v>6</v>
      </c>
      <c r="I27" s="2">
        <v>3</v>
      </c>
      <c r="J27" s="2">
        <v>1</v>
      </c>
      <c r="K27" s="2">
        <v>6</v>
      </c>
      <c r="L27" s="2">
        <v>6</v>
      </c>
      <c r="M27" s="2">
        <v>3</v>
      </c>
      <c r="N27" s="2">
        <f t="shared" si="0"/>
        <v>2</v>
      </c>
      <c r="O27" s="2">
        <f t="shared" si="1"/>
        <v>1</v>
      </c>
      <c r="P27" s="2" t="str">
        <f t="shared" si="2"/>
        <v>A</v>
      </c>
      <c r="Q27" s="2">
        <f t="shared" si="3"/>
        <v>13</v>
      </c>
      <c r="R27" s="2">
        <f t="shared" si="4"/>
        <v>12</v>
      </c>
      <c r="S27" s="2">
        <f t="shared" si="5"/>
        <v>1</v>
      </c>
      <c r="T27" s="2">
        <f t="shared" si="6"/>
        <v>0.02</v>
      </c>
      <c r="U27" s="2">
        <f t="shared" si="7"/>
        <v>0</v>
      </c>
      <c r="V27" s="2" t="b">
        <f t="shared" si="8"/>
        <v>0</v>
      </c>
      <c r="AA27" s="2">
        <f t="shared" si="10"/>
        <v>2025</v>
      </c>
      <c r="AB27" s="2" t="b">
        <f t="shared" si="9"/>
        <v>1</v>
      </c>
    </row>
    <row r="28" spans="1:28" x14ac:dyDescent="0.3">
      <c r="A28" s="2">
        <v>27</v>
      </c>
      <c r="B28" s="27">
        <v>45839</v>
      </c>
      <c r="C28" s="2" t="s">
        <v>41</v>
      </c>
      <c r="D28" s="6" t="s">
        <v>119</v>
      </c>
      <c r="E28" s="6" t="s">
        <v>113</v>
      </c>
      <c r="F28" s="6" t="s">
        <v>108</v>
      </c>
      <c r="G28" s="6" t="s">
        <v>107</v>
      </c>
      <c r="H28" s="2">
        <v>3</v>
      </c>
      <c r="I28" s="2">
        <v>6</v>
      </c>
      <c r="J28" s="2">
        <v>2</v>
      </c>
      <c r="K28" s="2">
        <v>6</v>
      </c>
      <c r="L28" s="2"/>
      <c r="M28" s="2"/>
      <c r="N28" s="2">
        <f t="shared" si="0"/>
        <v>0</v>
      </c>
      <c r="O28" s="2">
        <f t="shared" si="1"/>
        <v>2</v>
      </c>
      <c r="P28" s="2" t="str">
        <f t="shared" si="2"/>
        <v>B</v>
      </c>
      <c r="Q28" s="2">
        <f t="shared" si="3"/>
        <v>5</v>
      </c>
      <c r="R28" s="2">
        <f t="shared" si="4"/>
        <v>12</v>
      </c>
      <c r="S28" s="2">
        <f t="shared" si="5"/>
        <v>-7</v>
      </c>
      <c r="T28" s="2">
        <f t="shared" si="6"/>
        <v>0</v>
      </c>
      <c r="U28" s="2">
        <f t="shared" si="7"/>
        <v>0.14000000000000001</v>
      </c>
      <c r="V28" s="2" t="b">
        <f t="shared" si="8"/>
        <v>1</v>
      </c>
      <c r="AA28" s="2">
        <f t="shared" si="10"/>
        <v>2025</v>
      </c>
      <c r="AB28" s="2" t="b">
        <f t="shared" si="9"/>
        <v>1</v>
      </c>
    </row>
    <row r="29" spans="1:28" x14ac:dyDescent="0.3">
      <c r="A29" s="2">
        <v>28</v>
      </c>
      <c r="B29" s="27">
        <v>45840</v>
      </c>
      <c r="C29" s="2" t="s">
        <v>41</v>
      </c>
      <c r="D29" s="6" t="s">
        <v>107</v>
      </c>
      <c r="E29" s="6" t="s">
        <v>118</v>
      </c>
      <c r="F29" s="6" t="s">
        <v>109</v>
      </c>
      <c r="G29" s="6" t="s">
        <v>117</v>
      </c>
      <c r="H29" s="2">
        <v>2</v>
      </c>
      <c r="I29" s="2">
        <v>6</v>
      </c>
      <c r="J29" s="2">
        <v>5</v>
      </c>
      <c r="K29" s="2">
        <v>7</v>
      </c>
      <c r="L29" s="2"/>
      <c r="M29" s="2"/>
      <c r="N29" s="2">
        <f t="shared" si="0"/>
        <v>0</v>
      </c>
      <c r="O29" s="2">
        <f t="shared" si="1"/>
        <v>2</v>
      </c>
      <c r="P29" s="2" t="str">
        <f t="shared" si="2"/>
        <v>B</v>
      </c>
      <c r="Q29" s="2">
        <f t="shared" si="3"/>
        <v>7</v>
      </c>
      <c r="R29" s="2">
        <f t="shared" si="4"/>
        <v>13</v>
      </c>
      <c r="S29" s="2">
        <f t="shared" si="5"/>
        <v>-6</v>
      </c>
      <c r="T29" s="2">
        <f t="shared" si="6"/>
        <v>0</v>
      </c>
      <c r="U29" s="2">
        <f t="shared" si="7"/>
        <v>0.12</v>
      </c>
      <c r="V29" s="2" t="b">
        <f t="shared" si="8"/>
        <v>0</v>
      </c>
      <c r="AA29" s="2">
        <f t="shared" si="10"/>
        <v>2025</v>
      </c>
      <c r="AB29" s="2" t="b">
        <f t="shared" si="9"/>
        <v>1</v>
      </c>
    </row>
    <row r="30" spans="1:28" x14ac:dyDescent="0.3">
      <c r="A30" s="2">
        <v>29</v>
      </c>
      <c r="B30" s="27">
        <v>45841</v>
      </c>
      <c r="C30" s="2" t="s">
        <v>41</v>
      </c>
      <c r="D30" s="6" t="s">
        <v>109</v>
      </c>
      <c r="E30" s="6" t="s">
        <v>119</v>
      </c>
      <c r="F30" s="6" t="s">
        <v>104</v>
      </c>
      <c r="G30" s="6" t="s">
        <v>115</v>
      </c>
      <c r="H30" s="2">
        <v>0</v>
      </c>
      <c r="I30" s="2">
        <v>6</v>
      </c>
      <c r="J30" s="2">
        <v>0</v>
      </c>
      <c r="K30" s="2">
        <v>6</v>
      </c>
      <c r="L30" s="2"/>
      <c r="M30" s="2"/>
      <c r="N30" s="2">
        <f t="shared" si="0"/>
        <v>0</v>
      </c>
      <c r="O30" s="2">
        <f t="shared" si="1"/>
        <v>2</v>
      </c>
      <c r="P30" s="2" t="str">
        <f t="shared" si="2"/>
        <v>B</v>
      </c>
      <c r="Q30" s="2">
        <f t="shared" si="3"/>
        <v>0</v>
      </c>
      <c r="R30" s="2">
        <f t="shared" si="4"/>
        <v>12</v>
      </c>
      <c r="S30" s="2">
        <f t="shared" si="5"/>
        <v>-12</v>
      </c>
      <c r="T30" s="2">
        <f t="shared" si="6"/>
        <v>0</v>
      </c>
      <c r="U30" s="2">
        <f t="shared" si="7"/>
        <v>0.24</v>
      </c>
      <c r="V30" s="2" t="b">
        <f t="shared" si="8"/>
        <v>1</v>
      </c>
      <c r="AA30" s="2">
        <f t="shared" si="10"/>
        <v>2025</v>
      </c>
      <c r="AB30" s="2" t="b">
        <f t="shared" si="9"/>
        <v>1</v>
      </c>
    </row>
    <row r="31" spans="1:28" x14ac:dyDescent="0.3">
      <c r="A31" s="2">
        <v>30</v>
      </c>
      <c r="B31" s="27">
        <v>45841</v>
      </c>
      <c r="C31" s="2" t="s">
        <v>41</v>
      </c>
      <c r="D31" s="6" t="s">
        <v>109</v>
      </c>
      <c r="E31" s="6" t="s">
        <v>115</v>
      </c>
      <c r="F31" s="6" t="s">
        <v>119</v>
      </c>
      <c r="G31" s="6" t="s">
        <v>104</v>
      </c>
      <c r="H31" s="2">
        <v>5</v>
      </c>
      <c r="I31" s="2">
        <v>7</v>
      </c>
      <c r="J31" s="2">
        <v>6</v>
      </c>
      <c r="K31" s="2">
        <v>2</v>
      </c>
      <c r="L31" s="2">
        <v>6</v>
      </c>
      <c r="M31" s="2">
        <v>4</v>
      </c>
      <c r="N31" s="2">
        <f t="shared" si="0"/>
        <v>2</v>
      </c>
      <c r="O31" s="2">
        <f t="shared" si="1"/>
        <v>1</v>
      </c>
      <c r="P31" s="2" t="str">
        <f t="shared" si="2"/>
        <v>A</v>
      </c>
      <c r="Q31" s="2">
        <f t="shared" si="3"/>
        <v>17</v>
      </c>
      <c r="R31" s="2">
        <f t="shared" si="4"/>
        <v>13</v>
      </c>
      <c r="S31" s="2">
        <f t="shared" si="5"/>
        <v>4</v>
      </c>
      <c r="T31" s="2">
        <f t="shared" si="6"/>
        <v>0.08</v>
      </c>
      <c r="U31" s="2">
        <f t="shared" si="7"/>
        <v>0</v>
      </c>
      <c r="V31" s="2" t="b">
        <f t="shared" si="8"/>
        <v>1</v>
      </c>
      <c r="AA31" s="2">
        <f t="shared" si="10"/>
        <v>2025</v>
      </c>
      <c r="AB31" s="2" t="b">
        <f t="shared" si="9"/>
        <v>1</v>
      </c>
    </row>
    <row r="32" spans="1:28" x14ac:dyDescent="0.3">
      <c r="A32" s="2">
        <v>31</v>
      </c>
      <c r="B32" s="27">
        <v>45842</v>
      </c>
      <c r="C32" s="2" t="s">
        <v>41</v>
      </c>
      <c r="D32" s="6" t="s">
        <v>105</v>
      </c>
      <c r="E32" s="6" t="s">
        <v>119</v>
      </c>
      <c r="F32" s="6" t="s">
        <v>115</v>
      </c>
      <c r="G32" s="6" t="s">
        <v>109</v>
      </c>
      <c r="H32" s="2">
        <v>3</v>
      </c>
      <c r="I32" s="2">
        <v>6</v>
      </c>
      <c r="J32" s="2">
        <v>6</v>
      </c>
      <c r="K32" s="2">
        <v>4</v>
      </c>
      <c r="L32" s="2">
        <v>5</v>
      </c>
      <c r="M32" s="2">
        <v>7</v>
      </c>
      <c r="N32" s="2">
        <f t="shared" si="0"/>
        <v>1</v>
      </c>
      <c r="O32" s="2">
        <f t="shared" si="1"/>
        <v>2</v>
      </c>
      <c r="P32" s="2" t="str">
        <f t="shared" si="2"/>
        <v>B</v>
      </c>
      <c r="Q32" s="2">
        <f t="shared" si="3"/>
        <v>14</v>
      </c>
      <c r="R32" s="2">
        <f t="shared" si="4"/>
        <v>17</v>
      </c>
      <c r="S32" s="2">
        <f t="shared" si="5"/>
        <v>-3</v>
      </c>
      <c r="T32" s="2">
        <f t="shared" si="6"/>
        <v>0</v>
      </c>
      <c r="U32" s="2">
        <f t="shared" si="7"/>
        <v>0.06</v>
      </c>
      <c r="V32" s="2" t="b">
        <f t="shared" si="8"/>
        <v>1</v>
      </c>
      <c r="AA32" s="2">
        <f t="shared" si="10"/>
        <v>2025</v>
      </c>
      <c r="AB32" s="2" t="b">
        <f t="shared" si="9"/>
        <v>1</v>
      </c>
    </row>
    <row r="33" spans="1:28" x14ac:dyDescent="0.3">
      <c r="A33" s="2">
        <v>32</v>
      </c>
      <c r="B33" s="27">
        <v>45847</v>
      </c>
      <c r="C33" s="2" t="s">
        <v>41</v>
      </c>
      <c r="D33" s="6" t="s">
        <v>109</v>
      </c>
      <c r="E33" s="6" t="s">
        <v>108</v>
      </c>
      <c r="F33" s="6" t="s">
        <v>115</v>
      </c>
      <c r="G33" s="6" t="s">
        <v>118</v>
      </c>
      <c r="H33" s="2">
        <v>6</v>
      </c>
      <c r="I33" s="2">
        <v>2</v>
      </c>
      <c r="J33" s="2">
        <v>4</v>
      </c>
      <c r="K33" s="2">
        <v>6</v>
      </c>
      <c r="L33" s="2">
        <v>6</v>
      </c>
      <c r="M33" s="2">
        <v>2</v>
      </c>
      <c r="N33" s="2">
        <f t="shared" si="0"/>
        <v>2</v>
      </c>
      <c r="O33" s="2">
        <f t="shared" si="1"/>
        <v>1</v>
      </c>
      <c r="P33" s="2" t="str">
        <f t="shared" si="2"/>
        <v>A</v>
      </c>
      <c r="Q33" s="2">
        <f t="shared" si="3"/>
        <v>16</v>
      </c>
      <c r="R33" s="2">
        <f t="shared" si="4"/>
        <v>10</v>
      </c>
      <c r="S33" s="2">
        <f t="shared" si="5"/>
        <v>6</v>
      </c>
      <c r="T33" s="2">
        <f t="shared" si="6"/>
        <v>0.12</v>
      </c>
      <c r="U33" s="2">
        <f t="shared" si="7"/>
        <v>0</v>
      </c>
      <c r="V33" s="2" t="b">
        <f t="shared" si="8"/>
        <v>0</v>
      </c>
      <c r="AA33" s="2">
        <f t="shared" si="10"/>
        <v>2025</v>
      </c>
      <c r="AB33" s="2" t="b">
        <f t="shared" si="9"/>
        <v>1</v>
      </c>
    </row>
    <row r="34" spans="1:28" x14ac:dyDescent="0.3">
      <c r="A34" s="2">
        <v>33</v>
      </c>
      <c r="B34" s="27">
        <v>45848</v>
      </c>
      <c r="C34" s="2" t="s">
        <v>41</v>
      </c>
      <c r="D34" s="6" t="s">
        <v>119</v>
      </c>
      <c r="E34" s="6" t="s">
        <v>113</v>
      </c>
      <c r="F34" s="6" t="s">
        <v>108</v>
      </c>
      <c r="G34" s="6" t="s">
        <v>114</v>
      </c>
      <c r="H34" s="2">
        <v>6</v>
      </c>
      <c r="I34" s="2">
        <v>4</v>
      </c>
      <c r="J34" s="2">
        <v>4</v>
      </c>
      <c r="K34" s="2">
        <v>6</v>
      </c>
      <c r="L34" s="2">
        <v>2</v>
      </c>
      <c r="M34" s="2">
        <v>6</v>
      </c>
      <c r="N34" s="2">
        <f t="shared" si="0"/>
        <v>1</v>
      </c>
      <c r="O34" s="2">
        <f t="shared" si="1"/>
        <v>2</v>
      </c>
      <c r="P34" s="2" t="str">
        <f t="shared" si="2"/>
        <v>B</v>
      </c>
      <c r="Q34" s="2">
        <f t="shared" si="3"/>
        <v>12</v>
      </c>
      <c r="R34" s="2">
        <f t="shared" si="4"/>
        <v>16</v>
      </c>
      <c r="S34" s="2">
        <f t="shared" si="5"/>
        <v>-4</v>
      </c>
      <c r="T34" s="2">
        <f t="shared" si="6"/>
        <v>0</v>
      </c>
      <c r="U34" s="2">
        <f t="shared" si="7"/>
        <v>0.08</v>
      </c>
      <c r="V34" s="2" t="b">
        <f t="shared" si="8"/>
        <v>1</v>
      </c>
      <c r="AA34" s="2">
        <f t="shared" si="10"/>
        <v>2025</v>
      </c>
      <c r="AB34" s="2" t="b">
        <f t="shared" si="9"/>
        <v>1</v>
      </c>
    </row>
    <row r="35" spans="1:28" x14ac:dyDescent="0.3">
      <c r="A35" s="2">
        <v>34</v>
      </c>
      <c r="B35" s="27">
        <v>45849</v>
      </c>
      <c r="C35" s="2" t="s">
        <v>41</v>
      </c>
      <c r="D35" s="6" t="s">
        <v>105</v>
      </c>
      <c r="E35" s="6" t="s">
        <v>104</v>
      </c>
      <c r="F35" s="6" t="s">
        <v>108</v>
      </c>
      <c r="G35" s="6" t="s">
        <v>116</v>
      </c>
      <c r="H35" s="2">
        <v>6</v>
      </c>
      <c r="I35" s="2">
        <v>1</v>
      </c>
      <c r="J35" s="2">
        <v>6</v>
      </c>
      <c r="K35" s="2">
        <v>1</v>
      </c>
      <c r="L35" s="2"/>
      <c r="M35" s="2"/>
      <c r="N35" s="2">
        <f t="shared" si="0"/>
        <v>2</v>
      </c>
      <c r="O35" s="2">
        <f t="shared" si="1"/>
        <v>0</v>
      </c>
      <c r="P35" s="2" t="str">
        <f t="shared" si="2"/>
        <v>A</v>
      </c>
      <c r="Q35" s="2">
        <f t="shared" si="3"/>
        <v>12</v>
      </c>
      <c r="R35" s="2">
        <f t="shared" si="4"/>
        <v>2</v>
      </c>
      <c r="S35" s="2">
        <f t="shared" si="5"/>
        <v>10</v>
      </c>
      <c r="T35" s="2">
        <f t="shared" si="6"/>
        <v>0.2</v>
      </c>
      <c r="U35" s="2">
        <f t="shared" si="7"/>
        <v>0</v>
      </c>
      <c r="V35" s="2" t="b">
        <f t="shared" si="8"/>
        <v>0</v>
      </c>
      <c r="AA35" s="2">
        <f t="shared" si="10"/>
        <v>2025</v>
      </c>
      <c r="AB35" s="2" t="b">
        <f t="shared" si="9"/>
        <v>1</v>
      </c>
    </row>
    <row r="36" spans="1:28" x14ac:dyDescent="0.3">
      <c r="A36" s="2">
        <v>35</v>
      </c>
      <c r="B36" s="27">
        <v>45852</v>
      </c>
      <c r="C36" s="2" t="s">
        <v>41</v>
      </c>
      <c r="D36" s="6" t="s">
        <v>118</v>
      </c>
      <c r="E36" s="6" t="s">
        <v>110</v>
      </c>
      <c r="F36" s="6" t="s">
        <v>108</v>
      </c>
      <c r="G36" s="6" t="s">
        <v>113</v>
      </c>
      <c r="H36" s="2">
        <v>5</v>
      </c>
      <c r="I36" s="2">
        <v>7</v>
      </c>
      <c r="J36" s="2">
        <v>6</v>
      </c>
      <c r="K36" s="2">
        <v>4</v>
      </c>
      <c r="L36" s="2">
        <v>4</v>
      </c>
      <c r="M36" s="2">
        <v>6</v>
      </c>
      <c r="N36" s="2">
        <f t="shared" si="0"/>
        <v>1</v>
      </c>
      <c r="O36" s="2">
        <f t="shared" si="1"/>
        <v>2</v>
      </c>
      <c r="P36" s="2" t="str">
        <f t="shared" si="2"/>
        <v>B</v>
      </c>
      <c r="Q36" s="2">
        <f t="shared" si="3"/>
        <v>15</v>
      </c>
      <c r="R36" s="2">
        <f t="shared" si="4"/>
        <v>17</v>
      </c>
      <c r="S36" s="2">
        <f t="shared" si="5"/>
        <v>-2</v>
      </c>
      <c r="T36" s="2">
        <f t="shared" si="6"/>
        <v>0</v>
      </c>
      <c r="U36" s="2">
        <f t="shared" si="7"/>
        <v>0.04</v>
      </c>
      <c r="V36" s="2" t="b">
        <f t="shared" si="8"/>
        <v>0</v>
      </c>
      <c r="AA36" s="2">
        <f t="shared" si="10"/>
        <v>2025</v>
      </c>
      <c r="AB36" s="2" t="b">
        <f t="shared" si="9"/>
        <v>1</v>
      </c>
    </row>
    <row r="37" spans="1:28" x14ac:dyDescent="0.3">
      <c r="A37" s="2">
        <v>36</v>
      </c>
      <c r="B37" s="27">
        <v>45854</v>
      </c>
      <c r="C37" s="2" t="s">
        <v>41</v>
      </c>
      <c r="D37" s="6" t="s">
        <v>110</v>
      </c>
      <c r="E37" s="6" t="s">
        <v>117</v>
      </c>
      <c r="F37" s="6" t="s">
        <v>115</v>
      </c>
      <c r="G37" s="6" t="s">
        <v>116</v>
      </c>
      <c r="H37" s="2">
        <v>6</v>
      </c>
      <c r="I37" s="2">
        <v>0</v>
      </c>
      <c r="J37" s="2">
        <v>6</v>
      </c>
      <c r="K37" s="2">
        <v>4</v>
      </c>
      <c r="L37" s="2"/>
      <c r="M37" s="2"/>
      <c r="N37" s="2">
        <f t="shared" si="0"/>
        <v>2</v>
      </c>
      <c r="O37" s="2">
        <f t="shared" si="1"/>
        <v>0</v>
      </c>
      <c r="P37" s="2" t="str">
        <f t="shared" si="2"/>
        <v>A</v>
      </c>
      <c r="Q37" s="2">
        <f t="shared" si="3"/>
        <v>12</v>
      </c>
      <c r="R37" s="2">
        <f t="shared" si="4"/>
        <v>4</v>
      </c>
      <c r="S37" s="2">
        <f t="shared" si="5"/>
        <v>8</v>
      </c>
      <c r="T37" s="2">
        <f t="shared" si="6"/>
        <v>0.16</v>
      </c>
      <c r="U37" s="2">
        <f t="shared" si="7"/>
        <v>0</v>
      </c>
      <c r="V37" s="2" t="b">
        <f t="shared" si="8"/>
        <v>0</v>
      </c>
      <c r="AA37" s="2">
        <f t="shared" si="10"/>
        <v>2025</v>
      </c>
      <c r="AB37" s="2" t="b">
        <f t="shared" si="9"/>
        <v>1</v>
      </c>
    </row>
    <row r="38" spans="1:28" x14ac:dyDescent="0.3">
      <c r="A38" s="2">
        <v>37</v>
      </c>
      <c r="B38" s="27">
        <v>45854</v>
      </c>
      <c r="C38" s="2" t="s">
        <v>41</v>
      </c>
      <c r="D38" s="6" t="s">
        <v>110</v>
      </c>
      <c r="E38" s="6" t="s">
        <v>116</v>
      </c>
      <c r="F38" s="6" t="s">
        <v>115</v>
      </c>
      <c r="G38" s="6" t="s">
        <v>117</v>
      </c>
      <c r="H38" s="2">
        <v>6</v>
      </c>
      <c r="I38" s="2">
        <v>4</v>
      </c>
      <c r="J38" s="2">
        <v>6</v>
      </c>
      <c r="K38" s="2">
        <v>0</v>
      </c>
      <c r="L38" s="2"/>
      <c r="M38" s="2"/>
      <c r="N38" s="2">
        <f t="shared" si="0"/>
        <v>2</v>
      </c>
      <c r="O38" s="2">
        <f t="shared" si="1"/>
        <v>0</v>
      </c>
      <c r="P38" s="2" t="str">
        <f t="shared" si="2"/>
        <v>A</v>
      </c>
      <c r="Q38" s="2">
        <f t="shared" si="3"/>
        <v>12</v>
      </c>
      <c r="R38" s="2">
        <f t="shared" si="4"/>
        <v>4</v>
      </c>
      <c r="S38" s="2">
        <f t="shared" si="5"/>
        <v>8</v>
      </c>
      <c r="T38" s="2">
        <f t="shared" si="6"/>
        <v>0.16</v>
      </c>
      <c r="U38" s="2">
        <f t="shared" si="7"/>
        <v>0</v>
      </c>
      <c r="V38" s="2" t="b">
        <f t="shared" si="8"/>
        <v>0</v>
      </c>
      <c r="AA38" s="2">
        <f t="shared" si="10"/>
        <v>2025</v>
      </c>
      <c r="AB38" s="2" t="b">
        <f t="shared" si="9"/>
        <v>1</v>
      </c>
    </row>
    <row r="39" spans="1:28" x14ac:dyDescent="0.3">
      <c r="A39" s="2">
        <v>38</v>
      </c>
      <c r="B39" s="27">
        <v>45854</v>
      </c>
      <c r="C39" s="2" t="s">
        <v>41</v>
      </c>
      <c r="D39" s="6" t="s">
        <v>113</v>
      </c>
      <c r="E39" s="6" t="s">
        <v>119</v>
      </c>
      <c r="F39" s="6" t="s">
        <v>104</v>
      </c>
      <c r="G39" s="6" t="s">
        <v>108</v>
      </c>
      <c r="H39" s="2">
        <v>2</v>
      </c>
      <c r="I39" s="2">
        <v>6</v>
      </c>
      <c r="J39" s="2">
        <v>1</v>
      </c>
      <c r="K39" s="2">
        <v>6</v>
      </c>
      <c r="L39" s="2"/>
      <c r="M39" s="2"/>
      <c r="N39" s="2">
        <f t="shared" si="0"/>
        <v>0</v>
      </c>
      <c r="O39" s="2">
        <f t="shared" si="1"/>
        <v>2</v>
      </c>
      <c r="P39" s="2" t="str">
        <f t="shared" si="2"/>
        <v>B</v>
      </c>
      <c r="Q39" s="2">
        <f t="shared" si="3"/>
        <v>3</v>
      </c>
      <c r="R39" s="2">
        <f t="shared" si="4"/>
        <v>12</v>
      </c>
      <c r="S39" s="2">
        <f t="shared" si="5"/>
        <v>-9</v>
      </c>
      <c r="T39" s="2">
        <f t="shared" si="6"/>
        <v>0</v>
      </c>
      <c r="U39" s="2">
        <f t="shared" si="7"/>
        <v>0.18</v>
      </c>
      <c r="V39" s="2" t="b">
        <f t="shared" si="8"/>
        <v>1</v>
      </c>
      <c r="AA39" s="2">
        <f t="shared" si="10"/>
        <v>2025</v>
      </c>
      <c r="AB39" s="2" t="b">
        <f t="shared" si="9"/>
        <v>1</v>
      </c>
    </row>
    <row r="40" spans="1:28" x14ac:dyDescent="0.3">
      <c r="A40" s="2">
        <v>39</v>
      </c>
      <c r="B40" s="27">
        <v>45855</v>
      </c>
      <c r="C40" s="2" t="s">
        <v>41</v>
      </c>
      <c r="D40" s="6" t="s">
        <v>110</v>
      </c>
      <c r="E40" s="6" t="s">
        <v>116</v>
      </c>
      <c r="F40" s="6" t="s">
        <v>117</v>
      </c>
      <c r="G40" s="6" t="s">
        <v>114</v>
      </c>
      <c r="H40" s="2">
        <v>6</v>
      </c>
      <c r="I40" s="2">
        <v>4</v>
      </c>
      <c r="J40" s="2">
        <v>6</v>
      </c>
      <c r="K40" s="2">
        <v>3</v>
      </c>
      <c r="L40" s="2"/>
      <c r="M40" s="2"/>
      <c r="N40" s="2">
        <f t="shared" si="0"/>
        <v>2</v>
      </c>
      <c r="O40" s="2">
        <f t="shared" si="1"/>
        <v>0</v>
      </c>
      <c r="P40" s="2" t="str">
        <f t="shared" si="2"/>
        <v>A</v>
      </c>
      <c r="Q40" s="2">
        <f t="shared" si="3"/>
        <v>12</v>
      </c>
      <c r="R40" s="2">
        <f t="shared" si="4"/>
        <v>7</v>
      </c>
      <c r="S40" s="2">
        <f t="shared" si="5"/>
        <v>5</v>
      </c>
      <c r="T40" s="2">
        <f t="shared" si="6"/>
        <v>0.1</v>
      </c>
      <c r="U40" s="2">
        <f t="shared" si="7"/>
        <v>0</v>
      </c>
      <c r="V40" s="2" t="b">
        <f t="shared" si="8"/>
        <v>0</v>
      </c>
      <c r="AA40" s="2">
        <f t="shared" si="10"/>
        <v>2025</v>
      </c>
      <c r="AB40" s="2" t="b">
        <f t="shared" si="9"/>
        <v>1</v>
      </c>
    </row>
    <row r="41" spans="1:28" x14ac:dyDescent="0.3">
      <c r="A41" s="2">
        <v>40</v>
      </c>
      <c r="B41" s="27">
        <v>45855</v>
      </c>
      <c r="C41" s="2" t="s">
        <v>41</v>
      </c>
      <c r="D41" s="6" t="s">
        <v>118</v>
      </c>
      <c r="E41" s="6" t="s">
        <v>105</v>
      </c>
      <c r="F41" s="6" t="s">
        <v>108</v>
      </c>
      <c r="G41" s="6" t="s">
        <v>119</v>
      </c>
      <c r="H41" s="2">
        <v>6</v>
      </c>
      <c r="I41" s="2">
        <v>2</v>
      </c>
      <c r="J41" s="2">
        <v>4</v>
      </c>
      <c r="K41" s="2">
        <v>6</v>
      </c>
      <c r="L41" s="2">
        <v>6</v>
      </c>
      <c r="M41" s="2">
        <v>3</v>
      </c>
      <c r="N41" s="2">
        <f t="shared" si="0"/>
        <v>2</v>
      </c>
      <c r="O41" s="2">
        <f t="shared" si="1"/>
        <v>1</v>
      </c>
      <c r="P41" s="2" t="str">
        <f t="shared" si="2"/>
        <v>A</v>
      </c>
      <c r="Q41" s="2">
        <f t="shared" si="3"/>
        <v>16</v>
      </c>
      <c r="R41" s="2">
        <f t="shared" si="4"/>
        <v>11</v>
      </c>
      <c r="S41" s="2">
        <f t="shared" si="5"/>
        <v>5</v>
      </c>
      <c r="T41" s="2">
        <f t="shared" si="6"/>
        <v>0.1</v>
      </c>
      <c r="U41" s="2">
        <f t="shared" si="7"/>
        <v>0</v>
      </c>
      <c r="V41" s="2" t="b">
        <f t="shared" si="8"/>
        <v>1</v>
      </c>
      <c r="AA41" s="2">
        <f t="shared" si="10"/>
        <v>2025</v>
      </c>
      <c r="AB41" s="2" t="b">
        <f t="shared" si="9"/>
        <v>1</v>
      </c>
    </row>
    <row r="42" spans="1:28" x14ac:dyDescent="0.3">
      <c r="A42" s="2">
        <v>41</v>
      </c>
      <c r="B42" s="27">
        <v>45856</v>
      </c>
      <c r="C42" s="2" t="s">
        <v>41</v>
      </c>
      <c r="D42" s="6" t="s">
        <v>108</v>
      </c>
      <c r="E42" s="6" t="s">
        <v>105</v>
      </c>
      <c r="F42" s="6" t="s">
        <v>116</v>
      </c>
      <c r="G42" s="6" t="s">
        <v>104</v>
      </c>
      <c r="H42" s="2">
        <v>6</v>
      </c>
      <c r="I42" s="2">
        <v>4</v>
      </c>
      <c r="J42" s="2">
        <v>6</v>
      </c>
      <c r="K42" s="2">
        <v>2</v>
      </c>
      <c r="L42" s="2"/>
      <c r="M42" s="2"/>
      <c r="N42" s="2">
        <f t="shared" si="0"/>
        <v>2</v>
      </c>
      <c r="O42" s="2">
        <f t="shared" si="1"/>
        <v>0</v>
      </c>
      <c r="P42" s="2" t="str">
        <f t="shared" si="2"/>
        <v>A</v>
      </c>
      <c r="Q42" s="2">
        <f t="shared" si="3"/>
        <v>12</v>
      </c>
      <c r="R42" s="2">
        <f t="shared" si="4"/>
        <v>6</v>
      </c>
      <c r="S42" s="2">
        <f t="shared" si="5"/>
        <v>6</v>
      </c>
      <c r="T42" s="2">
        <f t="shared" si="6"/>
        <v>0.12</v>
      </c>
      <c r="U42" s="2">
        <f t="shared" si="7"/>
        <v>0</v>
      </c>
      <c r="V42" s="2" t="b">
        <f t="shared" si="8"/>
        <v>0</v>
      </c>
      <c r="AA42" s="2">
        <f t="shared" si="10"/>
        <v>2025</v>
      </c>
      <c r="AB42" s="2" t="b">
        <f t="shared" si="9"/>
        <v>1</v>
      </c>
    </row>
    <row r="43" spans="1:28" x14ac:dyDescent="0.3">
      <c r="A43" s="2">
        <v>42</v>
      </c>
      <c r="B43" s="27">
        <v>45859</v>
      </c>
      <c r="C43" s="2" t="s">
        <v>41</v>
      </c>
      <c r="D43" s="6" t="s">
        <v>119</v>
      </c>
      <c r="E43" s="6" t="s">
        <v>113</v>
      </c>
      <c r="F43" s="6" t="s">
        <v>108</v>
      </c>
      <c r="G43" s="6" t="s">
        <v>118</v>
      </c>
      <c r="H43" s="2">
        <v>2</v>
      </c>
      <c r="I43" s="2">
        <v>6</v>
      </c>
      <c r="J43" s="2">
        <v>5</v>
      </c>
      <c r="K43" s="2">
        <v>7</v>
      </c>
      <c r="L43" s="2"/>
      <c r="M43" s="2"/>
      <c r="N43" s="2">
        <f t="shared" si="0"/>
        <v>0</v>
      </c>
      <c r="O43" s="2">
        <f t="shared" si="1"/>
        <v>2</v>
      </c>
      <c r="P43" s="2" t="str">
        <f t="shared" si="2"/>
        <v>B</v>
      </c>
      <c r="Q43" s="2">
        <f t="shared" si="3"/>
        <v>7</v>
      </c>
      <c r="R43" s="2">
        <f t="shared" si="4"/>
        <v>13</v>
      </c>
      <c r="S43" s="2">
        <f t="shared" si="5"/>
        <v>-6</v>
      </c>
      <c r="T43" s="2">
        <f t="shared" si="6"/>
        <v>0</v>
      </c>
      <c r="U43" s="2">
        <f t="shared" si="7"/>
        <v>0.12</v>
      </c>
      <c r="V43" s="2" t="b">
        <f t="shared" si="8"/>
        <v>1</v>
      </c>
      <c r="AA43" s="2">
        <f t="shared" si="10"/>
        <v>2025</v>
      </c>
      <c r="AB43" s="2" t="b">
        <f t="shared" si="9"/>
        <v>1</v>
      </c>
    </row>
    <row r="44" spans="1:28" x14ac:dyDescent="0.3">
      <c r="A44" s="2">
        <v>43</v>
      </c>
      <c r="B44" s="27">
        <v>45860</v>
      </c>
      <c r="C44" s="2" t="s">
        <v>41</v>
      </c>
      <c r="D44" s="6" t="s">
        <v>119</v>
      </c>
      <c r="E44" s="6" t="s">
        <v>108</v>
      </c>
      <c r="F44" s="6" t="s">
        <v>118</v>
      </c>
      <c r="G44" s="6" t="s">
        <v>113</v>
      </c>
      <c r="H44" s="2">
        <v>3</v>
      </c>
      <c r="I44" s="2">
        <v>6</v>
      </c>
      <c r="J44" s="2">
        <v>4</v>
      </c>
      <c r="K44" s="2">
        <v>6</v>
      </c>
      <c r="L44" s="2"/>
      <c r="M44" s="2"/>
      <c r="N44" s="2">
        <f t="shared" si="0"/>
        <v>0</v>
      </c>
      <c r="O44" s="2">
        <f t="shared" si="1"/>
        <v>2</v>
      </c>
      <c r="P44" s="2" t="str">
        <f t="shared" si="2"/>
        <v>B</v>
      </c>
      <c r="Q44" s="2">
        <f t="shared" si="3"/>
        <v>7</v>
      </c>
      <c r="R44" s="2">
        <f t="shared" si="4"/>
        <v>12</v>
      </c>
      <c r="S44" s="2">
        <f t="shared" si="5"/>
        <v>-5</v>
      </c>
      <c r="T44" s="2">
        <f t="shared" si="6"/>
        <v>0</v>
      </c>
      <c r="U44" s="2">
        <f t="shared" si="7"/>
        <v>0.1</v>
      </c>
      <c r="V44" s="2" t="b">
        <f t="shared" si="8"/>
        <v>1</v>
      </c>
      <c r="AA44" s="2">
        <f t="shared" si="10"/>
        <v>2025</v>
      </c>
      <c r="AB44" s="2" t="b">
        <f t="shared" si="9"/>
        <v>1</v>
      </c>
    </row>
    <row r="45" spans="1:28" x14ac:dyDescent="0.3">
      <c r="A45" s="2">
        <v>44</v>
      </c>
      <c r="B45" s="27">
        <v>45860</v>
      </c>
      <c r="C45" s="2" t="s">
        <v>41</v>
      </c>
      <c r="D45" s="6" t="s">
        <v>119</v>
      </c>
      <c r="E45" s="6" t="s">
        <v>115</v>
      </c>
      <c r="F45" s="6" t="s">
        <v>111</v>
      </c>
      <c r="G45" s="6" t="s">
        <v>104</v>
      </c>
      <c r="H45" s="2">
        <v>2</v>
      </c>
      <c r="I45" s="2">
        <v>6</v>
      </c>
      <c r="J45" s="2">
        <v>2</v>
      </c>
      <c r="K45" s="2">
        <v>6</v>
      </c>
      <c r="L45" s="2"/>
      <c r="M45" s="2"/>
      <c r="N45" s="2">
        <f t="shared" si="0"/>
        <v>0</v>
      </c>
      <c r="O45" s="2">
        <f t="shared" si="1"/>
        <v>2</v>
      </c>
      <c r="P45" s="2" t="str">
        <f t="shared" si="2"/>
        <v>B</v>
      </c>
      <c r="Q45" s="2">
        <f t="shared" si="3"/>
        <v>4</v>
      </c>
      <c r="R45" s="2">
        <f t="shared" si="4"/>
        <v>12</v>
      </c>
      <c r="S45" s="2">
        <f t="shared" si="5"/>
        <v>-8</v>
      </c>
      <c r="T45" s="2">
        <f t="shared" si="6"/>
        <v>0</v>
      </c>
      <c r="U45" s="2">
        <f t="shared" si="7"/>
        <v>0.16</v>
      </c>
      <c r="V45" s="2" t="b">
        <f t="shared" si="8"/>
        <v>1</v>
      </c>
      <c r="AA45" s="2">
        <f t="shared" si="10"/>
        <v>2025</v>
      </c>
      <c r="AB45" s="2" t="b">
        <f t="shared" si="9"/>
        <v>1</v>
      </c>
    </row>
    <row r="46" spans="1:28" x14ac:dyDescent="0.3">
      <c r="A46" s="2">
        <v>45</v>
      </c>
      <c r="B46" s="27">
        <v>45863</v>
      </c>
      <c r="C46" s="2" t="s">
        <v>41</v>
      </c>
      <c r="D46" s="6" t="s">
        <v>110</v>
      </c>
      <c r="E46" s="6" t="s">
        <v>112</v>
      </c>
      <c r="F46" s="6" t="s">
        <v>105</v>
      </c>
      <c r="G46" s="6" t="s">
        <v>113</v>
      </c>
      <c r="H46" s="2">
        <v>4</v>
      </c>
      <c r="I46" s="2">
        <v>6</v>
      </c>
      <c r="J46" s="2">
        <v>2</v>
      </c>
      <c r="K46" s="2">
        <v>6</v>
      </c>
      <c r="L46" s="2"/>
      <c r="M46" s="2"/>
      <c r="N46" s="2">
        <f t="shared" si="0"/>
        <v>0</v>
      </c>
      <c r="O46" s="2">
        <f t="shared" si="1"/>
        <v>2</v>
      </c>
      <c r="P46" s="2" t="str">
        <f t="shared" si="2"/>
        <v>B</v>
      </c>
      <c r="Q46" s="2">
        <f t="shared" si="3"/>
        <v>6</v>
      </c>
      <c r="R46" s="2">
        <f t="shared" si="4"/>
        <v>12</v>
      </c>
      <c r="S46" s="2">
        <f t="shared" si="5"/>
        <v>-6</v>
      </c>
      <c r="T46" s="2">
        <f t="shared" si="6"/>
        <v>0</v>
      </c>
      <c r="U46" s="2">
        <f t="shared" si="7"/>
        <v>0.12</v>
      </c>
      <c r="V46" s="2" t="b">
        <f t="shared" si="8"/>
        <v>0</v>
      </c>
      <c r="AA46" s="2">
        <f t="shared" si="10"/>
        <v>2025</v>
      </c>
      <c r="AB46" s="2" t="b">
        <f t="shared" si="9"/>
        <v>1</v>
      </c>
    </row>
    <row r="47" spans="1:28" x14ac:dyDescent="0.3">
      <c r="A47" s="2">
        <v>46</v>
      </c>
      <c r="B47" s="27">
        <v>45863</v>
      </c>
      <c r="C47" s="2" t="s">
        <v>41</v>
      </c>
      <c r="D47" s="6" t="s">
        <v>113</v>
      </c>
      <c r="E47" s="6" t="s">
        <v>108</v>
      </c>
      <c r="F47" s="6" t="s">
        <v>111</v>
      </c>
      <c r="G47" s="6" t="s">
        <v>118</v>
      </c>
      <c r="H47" s="2">
        <v>6</v>
      </c>
      <c r="I47" s="2">
        <v>2</v>
      </c>
      <c r="J47" s="2">
        <v>7</v>
      </c>
      <c r="K47" s="2">
        <v>5</v>
      </c>
      <c r="L47" s="2"/>
      <c r="M47" s="2"/>
      <c r="N47" s="2">
        <f t="shared" si="0"/>
        <v>2</v>
      </c>
      <c r="O47" s="2">
        <f t="shared" si="1"/>
        <v>0</v>
      </c>
      <c r="P47" s="2" t="str">
        <f t="shared" si="2"/>
        <v>A</v>
      </c>
      <c r="Q47" s="2">
        <f t="shared" si="3"/>
        <v>13</v>
      </c>
      <c r="R47" s="2">
        <f t="shared" si="4"/>
        <v>7</v>
      </c>
      <c r="S47" s="2">
        <f t="shared" si="5"/>
        <v>6</v>
      </c>
      <c r="T47" s="2">
        <f t="shared" si="6"/>
        <v>0.12</v>
      </c>
      <c r="U47" s="2">
        <f t="shared" si="7"/>
        <v>0</v>
      </c>
      <c r="V47" s="2" t="b">
        <f t="shared" si="8"/>
        <v>0</v>
      </c>
      <c r="AA47" s="2">
        <f t="shared" si="10"/>
        <v>2025</v>
      </c>
      <c r="AB47" s="2" t="b">
        <f t="shared" si="9"/>
        <v>1</v>
      </c>
    </row>
    <row r="48" spans="1:28" x14ac:dyDescent="0.3">
      <c r="A48" s="2">
        <v>47</v>
      </c>
      <c r="B48" s="27">
        <v>45863</v>
      </c>
      <c r="C48" s="2" t="s">
        <v>41</v>
      </c>
      <c r="D48" s="6" t="s">
        <v>119</v>
      </c>
      <c r="E48" s="6" t="s">
        <v>104</v>
      </c>
      <c r="F48" s="6" t="s">
        <v>118</v>
      </c>
      <c r="G48" s="6" t="s">
        <v>108</v>
      </c>
      <c r="H48" s="2">
        <v>6</v>
      </c>
      <c r="I48" s="2">
        <v>4</v>
      </c>
      <c r="J48" s="2">
        <v>7</v>
      </c>
      <c r="K48" s="2">
        <v>6</v>
      </c>
      <c r="L48" s="2"/>
      <c r="M48" s="2"/>
      <c r="N48" s="2">
        <f t="shared" si="0"/>
        <v>2</v>
      </c>
      <c r="O48" s="2">
        <f t="shared" si="1"/>
        <v>0</v>
      </c>
      <c r="P48" s="2" t="str">
        <f t="shared" si="2"/>
        <v>A</v>
      </c>
      <c r="Q48" s="2">
        <f t="shared" si="3"/>
        <v>13</v>
      </c>
      <c r="R48" s="2">
        <f t="shared" si="4"/>
        <v>10</v>
      </c>
      <c r="S48" s="2">
        <f t="shared" si="5"/>
        <v>3</v>
      </c>
      <c r="T48" s="2">
        <f t="shared" si="6"/>
        <v>0.06</v>
      </c>
      <c r="U48" s="2">
        <f t="shared" si="7"/>
        <v>0</v>
      </c>
      <c r="V48" s="2" t="b">
        <f t="shared" si="8"/>
        <v>1</v>
      </c>
      <c r="AA48" s="2">
        <f t="shared" si="10"/>
        <v>2025</v>
      </c>
      <c r="AB48" s="2" t="b">
        <f t="shared" si="9"/>
        <v>1</v>
      </c>
    </row>
    <row r="49" spans="1:28" x14ac:dyDescent="0.3">
      <c r="A49" s="2">
        <v>48</v>
      </c>
      <c r="B49" s="27">
        <v>45866</v>
      </c>
      <c r="C49" s="2" t="s">
        <v>41</v>
      </c>
      <c r="D49" s="6" t="s">
        <v>119</v>
      </c>
      <c r="E49" s="6" t="s">
        <v>112</v>
      </c>
      <c r="F49" s="6" t="s">
        <v>104</v>
      </c>
      <c r="G49" s="6" t="s">
        <v>116</v>
      </c>
      <c r="H49" s="2">
        <v>2</v>
      </c>
      <c r="I49" s="2">
        <v>6</v>
      </c>
      <c r="J49" s="2">
        <v>5</v>
      </c>
      <c r="K49" s="2">
        <v>7</v>
      </c>
      <c r="L49" s="2"/>
      <c r="M49" s="2"/>
      <c r="N49" s="2">
        <f t="shared" si="0"/>
        <v>0</v>
      </c>
      <c r="O49" s="2">
        <f t="shared" si="1"/>
        <v>2</v>
      </c>
      <c r="P49" s="2" t="str">
        <f t="shared" si="2"/>
        <v>B</v>
      </c>
      <c r="Q49" s="2">
        <f t="shared" si="3"/>
        <v>7</v>
      </c>
      <c r="R49" s="2">
        <f t="shared" si="4"/>
        <v>13</v>
      </c>
      <c r="S49" s="2">
        <f t="shared" si="5"/>
        <v>-6</v>
      </c>
      <c r="T49" s="2">
        <f t="shared" si="6"/>
        <v>0</v>
      </c>
      <c r="U49" s="2">
        <f t="shared" si="7"/>
        <v>0.12</v>
      </c>
      <c r="V49" s="2" t="b">
        <f t="shared" si="8"/>
        <v>1</v>
      </c>
      <c r="AA49" s="2">
        <f t="shared" si="10"/>
        <v>2025</v>
      </c>
      <c r="AB49" s="2" t="b">
        <f t="shared" si="9"/>
        <v>1</v>
      </c>
    </row>
    <row r="50" spans="1:28" x14ac:dyDescent="0.3">
      <c r="A50" s="2">
        <v>49</v>
      </c>
      <c r="B50" s="27">
        <v>45868</v>
      </c>
      <c r="C50" s="2" t="s">
        <v>41</v>
      </c>
      <c r="D50" s="6" t="s">
        <v>108</v>
      </c>
      <c r="E50" s="6" t="s">
        <v>105</v>
      </c>
      <c r="F50" s="6" t="s">
        <v>116</v>
      </c>
      <c r="G50" s="6" t="s">
        <v>104</v>
      </c>
      <c r="H50" s="2">
        <v>4</v>
      </c>
      <c r="I50" s="2">
        <v>6</v>
      </c>
      <c r="J50" s="2">
        <v>6</v>
      </c>
      <c r="K50" s="2">
        <v>1</v>
      </c>
      <c r="L50" s="2">
        <v>6</v>
      </c>
      <c r="M50" s="2">
        <v>2</v>
      </c>
      <c r="N50" s="2">
        <f t="shared" si="0"/>
        <v>2</v>
      </c>
      <c r="O50" s="2">
        <f t="shared" si="1"/>
        <v>1</v>
      </c>
      <c r="P50" s="2" t="str">
        <f t="shared" si="2"/>
        <v>A</v>
      </c>
      <c r="Q50" s="2">
        <f t="shared" si="3"/>
        <v>16</v>
      </c>
      <c r="R50" s="2">
        <f t="shared" si="4"/>
        <v>9</v>
      </c>
      <c r="S50" s="2">
        <f t="shared" si="5"/>
        <v>7</v>
      </c>
      <c r="T50" s="2">
        <f t="shared" si="6"/>
        <v>0.14000000000000001</v>
      </c>
      <c r="U50" s="2">
        <f t="shared" si="7"/>
        <v>0</v>
      </c>
      <c r="V50" s="2" t="b">
        <f t="shared" si="8"/>
        <v>0</v>
      </c>
      <c r="AA50" s="2">
        <f t="shared" si="10"/>
        <v>2025</v>
      </c>
      <c r="AB50" s="2" t="b">
        <f t="shared" si="9"/>
        <v>1</v>
      </c>
    </row>
    <row r="51" spans="1:28" x14ac:dyDescent="0.3">
      <c r="A51" s="2">
        <v>50</v>
      </c>
      <c r="B51" s="27">
        <v>45874</v>
      </c>
      <c r="C51" s="2" t="s">
        <v>41</v>
      </c>
      <c r="D51" s="6" t="s">
        <v>109</v>
      </c>
      <c r="E51" s="6" t="s">
        <v>104</v>
      </c>
      <c r="F51" s="6" t="s">
        <v>112</v>
      </c>
      <c r="G51" s="6" t="s">
        <v>117</v>
      </c>
      <c r="H51" s="2">
        <v>6</v>
      </c>
      <c r="I51" s="2">
        <v>4</v>
      </c>
      <c r="J51" s="2">
        <v>6</v>
      </c>
      <c r="K51" s="2">
        <v>0</v>
      </c>
      <c r="L51" s="2"/>
      <c r="M51" s="2"/>
      <c r="N51" s="2">
        <f t="shared" si="0"/>
        <v>2</v>
      </c>
      <c r="O51" s="2">
        <f t="shared" si="1"/>
        <v>0</v>
      </c>
      <c r="P51" s="2" t="str">
        <f t="shared" si="2"/>
        <v>A</v>
      </c>
      <c r="Q51" s="2">
        <f t="shared" si="3"/>
        <v>12</v>
      </c>
      <c r="R51" s="2">
        <f t="shared" si="4"/>
        <v>4</v>
      </c>
      <c r="S51" s="2">
        <f t="shared" si="5"/>
        <v>8</v>
      </c>
      <c r="T51" s="2">
        <f t="shared" si="6"/>
        <v>0.16</v>
      </c>
      <c r="U51" s="2">
        <f t="shared" si="7"/>
        <v>0</v>
      </c>
      <c r="V51" s="2" t="b">
        <f t="shared" si="8"/>
        <v>0</v>
      </c>
      <c r="AA51" s="2">
        <f t="shared" si="10"/>
        <v>2025</v>
      </c>
      <c r="AB51" s="2" t="b">
        <f t="shared" si="9"/>
        <v>1</v>
      </c>
    </row>
    <row r="52" spans="1:28" x14ac:dyDescent="0.3">
      <c r="A52" s="2">
        <v>51</v>
      </c>
      <c r="B52" s="27">
        <v>45876</v>
      </c>
      <c r="C52" s="2" t="s">
        <v>41</v>
      </c>
      <c r="D52" s="6" t="s">
        <v>119</v>
      </c>
      <c r="E52" s="6" t="s">
        <v>116</v>
      </c>
      <c r="F52" s="6" t="s">
        <v>111</v>
      </c>
      <c r="G52" s="6" t="s">
        <v>118</v>
      </c>
      <c r="H52" s="2">
        <v>0</v>
      </c>
      <c r="I52" s="2">
        <v>6</v>
      </c>
      <c r="J52" s="2">
        <v>1</v>
      </c>
      <c r="K52" s="2">
        <v>6</v>
      </c>
      <c r="L52" s="2"/>
      <c r="M52" s="2"/>
      <c r="N52" s="2">
        <f t="shared" si="0"/>
        <v>0</v>
      </c>
      <c r="O52" s="2">
        <f t="shared" si="1"/>
        <v>2</v>
      </c>
      <c r="P52" s="2" t="str">
        <f t="shared" si="2"/>
        <v>B</v>
      </c>
      <c r="Q52" s="2">
        <f t="shared" si="3"/>
        <v>1</v>
      </c>
      <c r="R52" s="2">
        <f t="shared" si="4"/>
        <v>12</v>
      </c>
      <c r="S52" s="2">
        <f t="shared" si="5"/>
        <v>-11</v>
      </c>
      <c r="T52" s="2">
        <f t="shared" si="6"/>
        <v>0</v>
      </c>
      <c r="U52" s="2">
        <f t="shared" si="7"/>
        <v>0.22</v>
      </c>
      <c r="V52" s="2" t="b">
        <f t="shared" si="8"/>
        <v>1</v>
      </c>
      <c r="AA52" s="2">
        <f t="shared" si="10"/>
        <v>2025</v>
      </c>
      <c r="AB52" s="2" t="b">
        <f t="shared" si="9"/>
        <v>1</v>
      </c>
    </row>
    <row r="53" spans="1:28" x14ac:dyDescent="0.3">
      <c r="A53" s="2">
        <v>52</v>
      </c>
      <c r="B53" s="27">
        <v>45877</v>
      </c>
      <c r="C53" s="2" t="s">
        <v>41</v>
      </c>
      <c r="D53" s="6" t="s">
        <v>109</v>
      </c>
      <c r="E53" s="6" t="s">
        <v>119</v>
      </c>
      <c r="F53" s="6" t="s">
        <v>116</v>
      </c>
      <c r="G53" s="6" t="s">
        <v>111</v>
      </c>
      <c r="H53" s="2">
        <v>3</v>
      </c>
      <c r="I53" s="2">
        <v>6</v>
      </c>
      <c r="J53" s="2">
        <v>6</v>
      </c>
      <c r="K53" s="2">
        <v>4</v>
      </c>
      <c r="L53" s="2">
        <v>6</v>
      </c>
      <c r="M53" s="2">
        <v>4</v>
      </c>
      <c r="N53" s="2">
        <f t="shared" si="0"/>
        <v>2</v>
      </c>
      <c r="O53" s="2">
        <f t="shared" si="1"/>
        <v>1</v>
      </c>
      <c r="P53" s="2" t="str">
        <f t="shared" si="2"/>
        <v>A</v>
      </c>
      <c r="Q53" s="2">
        <f t="shared" si="3"/>
        <v>15</v>
      </c>
      <c r="R53" s="2">
        <f t="shared" si="4"/>
        <v>14</v>
      </c>
      <c r="S53" s="2">
        <f t="shared" si="5"/>
        <v>1</v>
      </c>
      <c r="T53" s="2">
        <f t="shared" si="6"/>
        <v>0.02</v>
      </c>
      <c r="U53" s="2">
        <f t="shared" si="7"/>
        <v>0</v>
      </c>
      <c r="V53" s="2" t="b">
        <f t="shared" si="8"/>
        <v>1</v>
      </c>
      <c r="AA53" s="2">
        <f t="shared" si="10"/>
        <v>2025</v>
      </c>
      <c r="AB53" s="2" t="b">
        <f t="shared" si="9"/>
        <v>1</v>
      </c>
    </row>
    <row r="54" spans="1:28" x14ac:dyDescent="0.3">
      <c r="A54" s="2">
        <v>53</v>
      </c>
      <c r="B54" s="27">
        <v>45880</v>
      </c>
      <c r="C54" s="2" t="s">
        <v>41</v>
      </c>
      <c r="D54" s="6" t="s">
        <v>119</v>
      </c>
      <c r="E54" s="6" t="s">
        <v>113</v>
      </c>
      <c r="F54" s="6" t="s">
        <v>116</v>
      </c>
      <c r="G54" s="6" t="s">
        <v>104</v>
      </c>
      <c r="H54" s="2">
        <v>0</v>
      </c>
      <c r="I54" s="2">
        <v>6</v>
      </c>
      <c r="J54" s="2">
        <v>6</v>
      </c>
      <c r="K54" s="2">
        <v>7</v>
      </c>
      <c r="L54" s="2"/>
      <c r="M54" s="2"/>
      <c r="N54" s="2">
        <f t="shared" si="0"/>
        <v>0</v>
      </c>
      <c r="O54" s="2">
        <f t="shared" si="1"/>
        <v>2</v>
      </c>
      <c r="P54" s="2" t="str">
        <f t="shared" si="2"/>
        <v>B</v>
      </c>
      <c r="Q54" s="2">
        <f t="shared" si="3"/>
        <v>6</v>
      </c>
      <c r="R54" s="2">
        <f t="shared" si="4"/>
        <v>13</v>
      </c>
      <c r="S54" s="2">
        <f t="shared" si="5"/>
        <v>-7</v>
      </c>
      <c r="T54" s="2">
        <f t="shared" si="6"/>
        <v>0</v>
      </c>
      <c r="U54" s="2">
        <f t="shared" si="7"/>
        <v>0.14000000000000001</v>
      </c>
      <c r="V54" s="2" t="b">
        <f t="shared" si="8"/>
        <v>1</v>
      </c>
      <c r="AA54" s="2">
        <f t="shared" si="10"/>
        <v>2025</v>
      </c>
      <c r="AB54" s="2" t="b">
        <f t="shared" si="9"/>
        <v>1</v>
      </c>
    </row>
    <row r="55" spans="1:28" x14ac:dyDescent="0.3">
      <c r="A55" s="2">
        <v>54</v>
      </c>
      <c r="B55" s="27">
        <v>45883</v>
      </c>
      <c r="C55" s="2" t="s">
        <v>41</v>
      </c>
      <c r="D55" s="6" t="s">
        <v>119</v>
      </c>
      <c r="E55" s="6" t="s">
        <v>118</v>
      </c>
      <c r="F55" s="6" t="s">
        <v>113</v>
      </c>
      <c r="G55" s="6" t="s">
        <v>104</v>
      </c>
      <c r="H55" s="2">
        <v>1</v>
      </c>
      <c r="I55" s="2">
        <v>6</v>
      </c>
      <c r="J55" s="2">
        <v>3</v>
      </c>
      <c r="K55" s="2">
        <v>6</v>
      </c>
      <c r="L55" s="2"/>
      <c r="M55" s="2"/>
      <c r="N55" s="2">
        <f t="shared" si="0"/>
        <v>0</v>
      </c>
      <c r="O55" s="2">
        <f t="shared" si="1"/>
        <v>2</v>
      </c>
      <c r="P55" s="2" t="str">
        <f t="shared" si="2"/>
        <v>B</v>
      </c>
      <c r="Q55" s="2">
        <f t="shared" si="3"/>
        <v>4</v>
      </c>
      <c r="R55" s="2">
        <f t="shared" si="4"/>
        <v>12</v>
      </c>
      <c r="S55" s="2">
        <f t="shared" si="5"/>
        <v>-8</v>
      </c>
      <c r="T55" s="2">
        <f t="shared" si="6"/>
        <v>0</v>
      </c>
      <c r="U55" s="2">
        <f t="shared" si="7"/>
        <v>0.16</v>
      </c>
      <c r="V55" s="2" t="b">
        <f t="shared" si="8"/>
        <v>1</v>
      </c>
      <c r="AA55" s="2">
        <f t="shared" si="10"/>
        <v>2025</v>
      </c>
      <c r="AB55" s="2" t="b">
        <f t="shared" si="9"/>
        <v>1</v>
      </c>
    </row>
    <row r="56" spans="1:28" x14ac:dyDescent="0.3">
      <c r="A56" s="2">
        <v>55</v>
      </c>
      <c r="B56" s="27">
        <v>45883</v>
      </c>
      <c r="C56" s="2" t="s">
        <v>41</v>
      </c>
      <c r="D56" s="6" t="s">
        <v>104</v>
      </c>
      <c r="E56" s="6" t="s">
        <v>118</v>
      </c>
      <c r="F56" s="6" t="s">
        <v>119</v>
      </c>
      <c r="G56" s="6" t="s">
        <v>113</v>
      </c>
      <c r="H56" s="2">
        <v>6</v>
      </c>
      <c r="I56" s="2">
        <v>3</v>
      </c>
      <c r="J56" s="2">
        <v>6</v>
      </c>
      <c r="K56" s="2">
        <v>3</v>
      </c>
      <c r="L56" s="2"/>
      <c r="M56" s="2"/>
      <c r="N56" s="2">
        <f t="shared" si="0"/>
        <v>2</v>
      </c>
      <c r="O56" s="2">
        <f t="shared" si="1"/>
        <v>0</v>
      </c>
      <c r="P56" s="2" t="str">
        <f t="shared" si="2"/>
        <v>A</v>
      </c>
      <c r="Q56" s="2">
        <f t="shared" si="3"/>
        <v>12</v>
      </c>
      <c r="R56" s="2">
        <f t="shared" si="4"/>
        <v>6</v>
      </c>
      <c r="S56" s="2">
        <f t="shared" si="5"/>
        <v>6</v>
      </c>
      <c r="T56" s="2">
        <f t="shared" si="6"/>
        <v>0.12</v>
      </c>
      <c r="U56" s="2">
        <f t="shared" si="7"/>
        <v>0</v>
      </c>
      <c r="V56" s="2" t="b">
        <f t="shared" si="8"/>
        <v>1</v>
      </c>
      <c r="AA56" s="2">
        <f t="shared" si="10"/>
        <v>2025</v>
      </c>
      <c r="AB56" s="2" t="b">
        <f t="shared" si="9"/>
        <v>1</v>
      </c>
    </row>
    <row r="57" spans="1:28" x14ac:dyDescent="0.3">
      <c r="A57" s="2">
        <v>56</v>
      </c>
      <c r="B57" s="27">
        <v>45924</v>
      </c>
      <c r="C57" s="2" t="s">
        <v>41</v>
      </c>
      <c r="D57" s="6" t="s">
        <v>109</v>
      </c>
      <c r="E57" s="6" t="s">
        <v>115</v>
      </c>
      <c r="F57" s="6" t="s">
        <v>108</v>
      </c>
      <c r="G57" s="6" t="s">
        <v>117</v>
      </c>
      <c r="H57" s="2">
        <v>7</v>
      </c>
      <c r="I57" s="2">
        <v>6</v>
      </c>
      <c r="J57" s="2">
        <v>6</v>
      </c>
      <c r="K57" s="2">
        <v>4</v>
      </c>
      <c r="L57" s="2"/>
      <c r="M57" s="2"/>
      <c r="N57" s="2">
        <f t="shared" si="0"/>
        <v>2</v>
      </c>
      <c r="O57" s="2">
        <f t="shared" si="1"/>
        <v>0</v>
      </c>
      <c r="P57" s="2" t="str">
        <f t="shared" si="2"/>
        <v>A</v>
      </c>
      <c r="Q57" s="2">
        <f t="shared" si="3"/>
        <v>13</v>
      </c>
      <c r="R57" s="2">
        <f t="shared" si="4"/>
        <v>10</v>
      </c>
      <c r="S57" s="2">
        <f t="shared" si="5"/>
        <v>3</v>
      </c>
      <c r="T57" s="2">
        <f t="shared" si="6"/>
        <v>0.06</v>
      </c>
      <c r="U57" s="2">
        <f t="shared" si="7"/>
        <v>0</v>
      </c>
      <c r="V57" s="2" t="b">
        <f t="shared" si="8"/>
        <v>0</v>
      </c>
      <c r="AA57" s="2">
        <f t="shared" si="10"/>
        <v>2025</v>
      </c>
      <c r="AB57" s="2" t="b">
        <f t="shared" si="9"/>
        <v>1</v>
      </c>
    </row>
    <row r="58" spans="1:28" x14ac:dyDescent="0.3">
      <c r="A58" s="2">
        <v>57</v>
      </c>
      <c r="B58" s="27">
        <v>45926</v>
      </c>
      <c r="C58" s="2" t="s">
        <v>41</v>
      </c>
      <c r="D58" s="6" t="s">
        <v>119</v>
      </c>
      <c r="E58" s="6" t="s">
        <v>108</v>
      </c>
      <c r="F58" s="6" t="s">
        <v>109</v>
      </c>
      <c r="G58" s="6" t="s">
        <v>117</v>
      </c>
      <c r="H58" s="2">
        <v>4</v>
      </c>
      <c r="I58" s="2">
        <v>6</v>
      </c>
      <c r="J58" s="2">
        <v>6</v>
      </c>
      <c r="K58" s="2">
        <v>2</v>
      </c>
      <c r="L58" s="2">
        <v>4</v>
      </c>
      <c r="M58" s="2">
        <v>6</v>
      </c>
      <c r="N58" s="2">
        <f t="shared" si="0"/>
        <v>1</v>
      </c>
      <c r="O58" s="2">
        <f t="shared" si="1"/>
        <v>2</v>
      </c>
      <c r="P58" s="2" t="str">
        <f t="shared" si="2"/>
        <v>B</v>
      </c>
      <c r="Q58" s="2">
        <f t="shared" si="3"/>
        <v>14</v>
      </c>
      <c r="R58" s="2">
        <f t="shared" si="4"/>
        <v>14</v>
      </c>
      <c r="S58" s="2">
        <f t="shared" si="5"/>
        <v>0</v>
      </c>
      <c r="T58" s="2">
        <f t="shared" si="6"/>
        <v>0</v>
      </c>
      <c r="U58" s="2">
        <f t="shared" si="7"/>
        <v>0</v>
      </c>
      <c r="V58" s="2" t="b">
        <f t="shared" si="8"/>
        <v>1</v>
      </c>
      <c r="AA58" s="2">
        <f t="shared" si="10"/>
        <v>2025</v>
      </c>
      <c r="AB58" s="2" t="b">
        <f t="shared" si="9"/>
        <v>1</v>
      </c>
    </row>
    <row r="59" spans="1:28" x14ac:dyDescent="0.3">
      <c r="A59" s="2">
        <v>58</v>
      </c>
      <c r="B59" s="27">
        <v>45930</v>
      </c>
      <c r="C59" s="2" t="s">
        <v>41</v>
      </c>
      <c r="D59" s="6" t="s">
        <v>115</v>
      </c>
      <c r="E59" s="6" t="s">
        <v>108</v>
      </c>
      <c r="F59" s="6" t="s">
        <v>111</v>
      </c>
      <c r="G59" s="6" t="s">
        <v>117</v>
      </c>
      <c r="H59" s="2">
        <v>6</v>
      </c>
      <c r="I59" s="2">
        <v>4</v>
      </c>
      <c r="J59" s="2">
        <v>6</v>
      </c>
      <c r="K59" s="2">
        <v>1</v>
      </c>
      <c r="L59" s="2"/>
      <c r="M59" s="2"/>
      <c r="N59" s="2">
        <f t="shared" si="0"/>
        <v>2</v>
      </c>
      <c r="O59" s="2">
        <f t="shared" si="1"/>
        <v>0</v>
      </c>
      <c r="P59" s="2" t="str">
        <f t="shared" si="2"/>
        <v>A</v>
      </c>
      <c r="Q59" s="2">
        <f t="shared" si="3"/>
        <v>12</v>
      </c>
      <c r="R59" s="2">
        <f t="shared" si="4"/>
        <v>5</v>
      </c>
      <c r="S59" s="2">
        <f t="shared" si="5"/>
        <v>7</v>
      </c>
      <c r="T59" s="2">
        <f t="shared" si="6"/>
        <v>0.14000000000000001</v>
      </c>
      <c r="U59" s="2">
        <f t="shared" si="7"/>
        <v>0</v>
      </c>
      <c r="V59" s="2" t="b">
        <f t="shared" si="8"/>
        <v>0</v>
      </c>
      <c r="AA59" s="2">
        <f t="shared" si="10"/>
        <v>2025</v>
      </c>
      <c r="AB59" s="2" t="b">
        <f t="shared" si="9"/>
        <v>1</v>
      </c>
    </row>
    <row r="60" spans="1:28" x14ac:dyDescent="0.3">
      <c r="A60" s="2">
        <v>59</v>
      </c>
      <c r="B60" s="27">
        <v>45930</v>
      </c>
      <c r="C60" s="2" t="s">
        <v>41</v>
      </c>
      <c r="D60" s="6" t="s">
        <v>115</v>
      </c>
      <c r="E60" s="6" t="s">
        <v>117</v>
      </c>
      <c r="F60" s="6" t="s">
        <v>108</v>
      </c>
      <c r="G60" s="6" t="s">
        <v>111</v>
      </c>
      <c r="H60" s="2">
        <v>2</v>
      </c>
      <c r="I60" s="2">
        <v>6</v>
      </c>
      <c r="J60" s="2">
        <v>3</v>
      </c>
      <c r="K60" s="2">
        <v>6</v>
      </c>
      <c r="L60" s="2"/>
      <c r="M60" s="2"/>
      <c r="N60" s="2">
        <f t="shared" si="0"/>
        <v>0</v>
      </c>
      <c r="O60" s="2">
        <f t="shared" si="1"/>
        <v>2</v>
      </c>
      <c r="P60" s="2" t="str">
        <f t="shared" si="2"/>
        <v>B</v>
      </c>
      <c r="Q60" s="2">
        <f t="shared" si="3"/>
        <v>5</v>
      </c>
      <c r="R60" s="2">
        <f t="shared" si="4"/>
        <v>12</v>
      </c>
      <c r="S60" s="2">
        <f t="shared" si="5"/>
        <v>-7</v>
      </c>
      <c r="T60" s="2">
        <f t="shared" si="6"/>
        <v>0</v>
      </c>
      <c r="U60" s="2">
        <f t="shared" si="7"/>
        <v>0.14000000000000001</v>
      </c>
      <c r="V60" s="2" t="b">
        <f t="shared" si="8"/>
        <v>0</v>
      </c>
      <c r="AA60" s="2">
        <f t="shared" si="10"/>
        <v>2025</v>
      </c>
      <c r="AB60" s="2" t="b">
        <f t="shared" si="9"/>
        <v>1</v>
      </c>
    </row>
    <row r="61" spans="1:28" x14ac:dyDescent="0.3">
      <c r="A61" s="2">
        <v>60</v>
      </c>
      <c r="B61" s="27">
        <v>45939</v>
      </c>
      <c r="C61" s="2" t="s">
        <v>41</v>
      </c>
      <c r="D61" s="6" t="s">
        <v>119</v>
      </c>
      <c r="E61" s="6" t="s">
        <v>105</v>
      </c>
      <c r="F61" s="6" t="s">
        <v>104</v>
      </c>
      <c r="G61" s="6" t="s">
        <v>111</v>
      </c>
      <c r="H61" s="2">
        <v>3</v>
      </c>
      <c r="I61" s="2">
        <v>6</v>
      </c>
      <c r="J61" s="2">
        <v>0</v>
      </c>
      <c r="K61" s="2">
        <v>6</v>
      </c>
      <c r="L61" s="2"/>
      <c r="M61" s="2"/>
      <c r="N61" s="2">
        <f t="shared" si="0"/>
        <v>0</v>
      </c>
      <c r="O61" s="2">
        <f t="shared" si="1"/>
        <v>2</v>
      </c>
      <c r="P61" s="2" t="str">
        <f t="shared" si="2"/>
        <v>B</v>
      </c>
      <c r="Q61" s="2">
        <f t="shared" si="3"/>
        <v>3</v>
      </c>
      <c r="R61" s="2">
        <f t="shared" si="4"/>
        <v>12</v>
      </c>
      <c r="S61" s="2">
        <f t="shared" si="5"/>
        <v>-9</v>
      </c>
      <c r="T61" s="2">
        <f t="shared" si="6"/>
        <v>0</v>
      </c>
      <c r="U61" s="2">
        <f t="shared" si="7"/>
        <v>0.18</v>
      </c>
      <c r="V61" s="2" t="b">
        <f t="shared" si="8"/>
        <v>1</v>
      </c>
      <c r="AA61" s="2">
        <f t="shared" si="10"/>
        <v>2025</v>
      </c>
      <c r="AB61" s="2" t="b">
        <f t="shared" si="9"/>
        <v>1</v>
      </c>
    </row>
    <row r="62" spans="1:28" x14ac:dyDescent="0.3">
      <c r="A62" s="2">
        <v>61</v>
      </c>
      <c r="B62" s="27">
        <v>45947</v>
      </c>
      <c r="C62" s="2" t="s">
        <v>41</v>
      </c>
      <c r="D62" s="6" t="s">
        <v>105</v>
      </c>
      <c r="E62" s="6" t="s">
        <v>109</v>
      </c>
      <c r="F62" s="6" t="s">
        <v>113</v>
      </c>
      <c r="G62" s="6" t="s">
        <v>104</v>
      </c>
      <c r="H62" s="2">
        <v>6</v>
      </c>
      <c r="I62" s="2">
        <v>7</v>
      </c>
      <c r="J62" s="2">
        <v>3</v>
      </c>
      <c r="K62" s="2">
        <v>6</v>
      </c>
      <c r="L62" s="2"/>
      <c r="M62" s="2"/>
      <c r="N62" s="2">
        <f t="shared" si="0"/>
        <v>0</v>
      </c>
      <c r="O62" s="2">
        <f t="shared" si="1"/>
        <v>2</v>
      </c>
      <c r="P62" s="2" t="str">
        <f t="shared" si="2"/>
        <v>B</v>
      </c>
      <c r="Q62" s="2">
        <f t="shared" si="3"/>
        <v>9</v>
      </c>
      <c r="R62" s="2">
        <f t="shared" si="4"/>
        <v>13</v>
      </c>
      <c r="S62" s="2">
        <f t="shared" si="5"/>
        <v>-4</v>
      </c>
      <c r="T62" s="2">
        <f t="shared" si="6"/>
        <v>0</v>
      </c>
      <c r="U62" s="2">
        <f t="shared" si="7"/>
        <v>0.08</v>
      </c>
      <c r="V62" s="2" t="b">
        <f t="shared" si="8"/>
        <v>0</v>
      </c>
      <c r="AA62" s="2">
        <f t="shared" si="10"/>
        <v>2025</v>
      </c>
      <c r="AB62" s="2" t="b">
        <f t="shared" si="9"/>
        <v>1</v>
      </c>
    </row>
    <row r="63" spans="1:28" x14ac:dyDescent="0.3">
      <c r="A63" s="2">
        <v>62</v>
      </c>
      <c r="B63" s="27">
        <v>45953</v>
      </c>
      <c r="C63" s="2" t="s">
        <v>41</v>
      </c>
      <c r="D63" s="6" t="s">
        <v>105</v>
      </c>
      <c r="E63" s="6" t="s">
        <v>111</v>
      </c>
      <c r="F63" s="6" t="s">
        <v>115</v>
      </c>
      <c r="G63" s="6" t="s">
        <v>104</v>
      </c>
      <c r="H63" s="2">
        <v>6</v>
      </c>
      <c r="I63" s="2">
        <v>7</v>
      </c>
      <c r="J63" s="2">
        <v>1</v>
      </c>
      <c r="K63" s="2">
        <v>6</v>
      </c>
      <c r="L63" s="2"/>
      <c r="M63" s="2"/>
      <c r="N63" s="2">
        <f t="shared" si="0"/>
        <v>0</v>
      </c>
      <c r="O63" s="2">
        <f t="shared" si="1"/>
        <v>2</v>
      </c>
      <c r="P63" s="2" t="str">
        <f t="shared" si="2"/>
        <v>B</v>
      </c>
      <c r="Q63" s="2">
        <f t="shared" si="3"/>
        <v>7</v>
      </c>
      <c r="R63" s="2">
        <f t="shared" si="4"/>
        <v>13</v>
      </c>
      <c r="S63" s="2">
        <f t="shared" si="5"/>
        <v>-6</v>
      </c>
      <c r="T63" s="2">
        <f t="shared" si="6"/>
        <v>0</v>
      </c>
      <c r="U63" s="2">
        <f t="shared" si="7"/>
        <v>0.12</v>
      </c>
      <c r="V63" s="2" t="b">
        <f t="shared" si="8"/>
        <v>0</v>
      </c>
      <c r="AA63" s="2">
        <f t="shared" si="10"/>
        <v>2025</v>
      </c>
      <c r="AB63" s="2" t="b">
        <f t="shared" si="9"/>
        <v>1</v>
      </c>
    </row>
    <row r="64" spans="1:28" x14ac:dyDescent="0.3">
      <c r="A64" s="2">
        <v>63</v>
      </c>
      <c r="B64" s="27">
        <v>45958</v>
      </c>
      <c r="C64" s="2" t="s">
        <v>41</v>
      </c>
      <c r="D64" s="6" t="s">
        <v>104</v>
      </c>
      <c r="E64" s="6" t="s">
        <v>116</v>
      </c>
      <c r="F64" s="6" t="s">
        <v>111</v>
      </c>
      <c r="G64" s="6" t="s">
        <v>115</v>
      </c>
      <c r="H64" s="2">
        <v>4</v>
      </c>
      <c r="I64" s="2">
        <v>6</v>
      </c>
      <c r="J64" s="2">
        <v>6</v>
      </c>
      <c r="K64" s="2">
        <v>2</v>
      </c>
      <c r="L64" s="2">
        <v>4</v>
      </c>
      <c r="M64" s="2">
        <v>1</v>
      </c>
      <c r="N64" s="2">
        <f t="shared" si="0"/>
        <v>2</v>
      </c>
      <c r="O64" s="2">
        <f t="shared" si="1"/>
        <v>1</v>
      </c>
      <c r="P64" s="2" t="str">
        <f t="shared" si="2"/>
        <v>A</v>
      </c>
      <c r="Q64" s="2">
        <f t="shared" si="3"/>
        <v>14</v>
      </c>
      <c r="R64" s="2">
        <f t="shared" si="4"/>
        <v>9</v>
      </c>
      <c r="S64" s="2">
        <f t="shared" si="5"/>
        <v>5</v>
      </c>
      <c r="T64" s="2">
        <f t="shared" si="6"/>
        <v>0.1</v>
      </c>
      <c r="U64" s="2">
        <f t="shared" si="7"/>
        <v>0</v>
      </c>
      <c r="V64" s="2" t="b">
        <f t="shared" si="8"/>
        <v>0</v>
      </c>
      <c r="AA64" s="2">
        <f t="shared" si="10"/>
        <v>2025</v>
      </c>
      <c r="AB64" s="2" t="b">
        <f t="shared" si="9"/>
        <v>1</v>
      </c>
    </row>
    <row r="65" spans="1:28" x14ac:dyDescent="0.3">
      <c r="A65" s="2">
        <v>64</v>
      </c>
      <c r="B65" s="27">
        <v>45960</v>
      </c>
      <c r="C65" s="2" t="s">
        <v>41</v>
      </c>
      <c r="D65" s="6" t="s">
        <v>104</v>
      </c>
      <c r="E65" s="6" t="s">
        <v>116</v>
      </c>
      <c r="F65" s="6" t="s">
        <v>111</v>
      </c>
      <c r="G65" s="6" t="s">
        <v>108</v>
      </c>
      <c r="H65" s="2">
        <v>1</v>
      </c>
      <c r="I65" s="2">
        <v>6</v>
      </c>
      <c r="J65" s="2">
        <v>2</v>
      </c>
      <c r="K65" s="2">
        <v>6</v>
      </c>
      <c r="L65" s="2">
        <v>6</v>
      </c>
      <c r="M65" s="2">
        <v>2</v>
      </c>
      <c r="N65" s="2">
        <f t="shared" si="0"/>
        <v>1</v>
      </c>
      <c r="O65" s="2">
        <f t="shared" si="1"/>
        <v>2</v>
      </c>
      <c r="P65" s="2" t="str">
        <f t="shared" si="2"/>
        <v>B</v>
      </c>
      <c r="Q65" s="2">
        <f t="shared" si="3"/>
        <v>9</v>
      </c>
      <c r="R65" s="2">
        <f t="shared" si="4"/>
        <v>14</v>
      </c>
      <c r="S65" s="2">
        <f t="shared" si="5"/>
        <v>-5</v>
      </c>
      <c r="T65" s="2">
        <f t="shared" si="6"/>
        <v>0</v>
      </c>
      <c r="U65" s="2">
        <f t="shared" si="7"/>
        <v>0.1</v>
      </c>
      <c r="V65" s="2" t="b">
        <f t="shared" si="8"/>
        <v>0</v>
      </c>
      <c r="AA65" s="2">
        <f t="shared" si="10"/>
        <v>2025</v>
      </c>
      <c r="AB65" s="2" t="b">
        <f t="shared" si="9"/>
        <v>1</v>
      </c>
    </row>
    <row r="66" spans="1:28" x14ac:dyDescent="0.3">
      <c r="A66" s="2">
        <v>65</v>
      </c>
      <c r="B66" s="27">
        <v>45964</v>
      </c>
      <c r="C66" s="2" t="s">
        <v>41</v>
      </c>
      <c r="D66" s="6" t="s">
        <v>119</v>
      </c>
      <c r="E66" s="6" t="s">
        <v>104</v>
      </c>
      <c r="F66" s="6" t="s">
        <v>111</v>
      </c>
      <c r="G66" s="6" t="s">
        <v>115</v>
      </c>
      <c r="H66" s="2">
        <v>4</v>
      </c>
      <c r="I66" s="2">
        <v>6</v>
      </c>
      <c r="J66" s="2">
        <v>6</v>
      </c>
      <c r="K66" s="2">
        <v>2</v>
      </c>
      <c r="L66" s="2">
        <v>3</v>
      </c>
      <c r="M66" s="2">
        <v>6</v>
      </c>
      <c r="N66" s="2">
        <f t="shared" ref="N66:N129" si="11">IF(OR(H66="",I66="",J66="",K66=""),"",(IF(H66&gt;I66,1,0)+IF(J66&gt;K66,1,0)+IF(AND(L66&lt;&gt;"",M66&lt;&gt;""),IF(L66&gt;M66,1,0),0)))</f>
        <v>1</v>
      </c>
      <c r="O66" s="2">
        <f t="shared" ref="O66:O129" si="12">IF(N66="","",(IF(H66&lt;I66,1,0)+IF(J66&lt;K66,1,0)+IF(AND(L66&lt;&gt;"",M66&lt;&gt;""),IF(L66&lt;M66,1,0),0)))</f>
        <v>2</v>
      </c>
      <c r="P66" s="2" t="str">
        <f t="shared" ref="P66:P129" si="13">IF(N66="","",IF(N66&gt;O66,"A","B"))</f>
        <v>B</v>
      </c>
      <c r="Q66" s="2">
        <f t="shared" ref="Q66:Q129" si="14">IF(N66="","",H66+J66+IF(L66="",0,L66))</f>
        <v>13</v>
      </c>
      <c r="R66" s="2">
        <f t="shared" ref="R66:R129" si="15">IF(N66="","",I66+K66+IF(M66="",0,M66))</f>
        <v>14</v>
      </c>
      <c r="S66" s="2">
        <f t="shared" ref="S66:S129" si="16">IF(N66="","",Q66-R66)</f>
        <v>-1</v>
      </c>
      <c r="T66" s="2">
        <f t="shared" ref="T66:T129" si="17">IF(OR(C66&lt;&gt;$X$2,P66=""),"",MIN(MAX(0,S66)*$X$5,$X$6))</f>
        <v>0</v>
      </c>
      <c r="U66" s="2">
        <f t="shared" ref="U66:U129" si="18">IF(OR(C66&lt;&gt;$X$2,P66=""),"",MIN(MAX(0,-S66)*$X$5,$X$6))</f>
        <v>0.02</v>
      </c>
      <c r="V66" s="2" t="b">
        <f t="shared" ref="V66:V129" si="19">IF($Z$2="","",OR($D66=$Z$2,$E66=$Z$2,$F66=$Z$2,$G66=$Z$2))</f>
        <v>1</v>
      </c>
      <c r="AA66" s="2">
        <f t="shared" ref="AA66:AA129" si="20">IF($B66="","",YEAR($B66))</f>
        <v>2025</v>
      </c>
      <c r="AB66" s="2" t="b">
        <f t="shared" ref="AB66:AB129" si="21">IF($Z$5="Todas",TRUE,$AA66=$Z$5)</f>
        <v>1</v>
      </c>
    </row>
    <row r="67" spans="1:28" x14ac:dyDescent="0.3">
      <c r="A67" s="2">
        <v>66</v>
      </c>
      <c r="B67" s="27">
        <v>45967</v>
      </c>
      <c r="C67" s="2" t="s">
        <v>41</v>
      </c>
      <c r="D67" s="6" t="s">
        <v>119</v>
      </c>
      <c r="E67" s="6" t="s">
        <v>109</v>
      </c>
      <c r="F67" s="6" t="s">
        <v>113</v>
      </c>
      <c r="G67" s="6" t="s">
        <v>116</v>
      </c>
      <c r="H67" s="2">
        <v>2</v>
      </c>
      <c r="I67" s="2">
        <v>6</v>
      </c>
      <c r="J67" s="2">
        <v>6</v>
      </c>
      <c r="K67" s="2">
        <v>2</v>
      </c>
      <c r="L67" s="2">
        <v>6</v>
      </c>
      <c r="M67" s="2">
        <v>4</v>
      </c>
      <c r="N67" s="2">
        <f t="shared" si="11"/>
        <v>2</v>
      </c>
      <c r="O67" s="2">
        <f t="shared" si="12"/>
        <v>1</v>
      </c>
      <c r="P67" s="2" t="str">
        <f t="shared" si="13"/>
        <v>A</v>
      </c>
      <c r="Q67" s="2">
        <f t="shared" si="14"/>
        <v>14</v>
      </c>
      <c r="R67" s="2">
        <f t="shared" si="15"/>
        <v>12</v>
      </c>
      <c r="S67" s="2">
        <f t="shared" si="16"/>
        <v>2</v>
      </c>
      <c r="T67" s="2">
        <f t="shared" si="17"/>
        <v>0.04</v>
      </c>
      <c r="U67" s="2">
        <f t="shared" si="18"/>
        <v>0</v>
      </c>
      <c r="V67" s="2" t="b">
        <f t="shared" si="19"/>
        <v>1</v>
      </c>
      <c r="AA67" s="2">
        <f t="shared" si="20"/>
        <v>2025</v>
      </c>
      <c r="AB67" s="2" t="b">
        <f t="shared" si="21"/>
        <v>1</v>
      </c>
    </row>
    <row r="68" spans="1:28" x14ac:dyDescent="0.3">
      <c r="A68" s="2">
        <v>67</v>
      </c>
      <c r="B68" s="27">
        <v>45968</v>
      </c>
      <c r="C68" s="2" t="s">
        <v>41</v>
      </c>
      <c r="D68" s="6" t="s">
        <v>119</v>
      </c>
      <c r="E68" s="6" t="s">
        <v>108</v>
      </c>
      <c r="F68" s="6" t="s">
        <v>104</v>
      </c>
      <c r="G68" s="6" t="s">
        <v>116</v>
      </c>
      <c r="H68" s="2">
        <v>4</v>
      </c>
      <c r="I68" s="2">
        <v>6</v>
      </c>
      <c r="J68" s="2">
        <v>7</v>
      </c>
      <c r="K68" s="2">
        <v>6</v>
      </c>
      <c r="L68" s="2">
        <v>7</v>
      </c>
      <c r="M68" s="2">
        <v>6</v>
      </c>
      <c r="N68" s="2">
        <f t="shared" si="11"/>
        <v>2</v>
      </c>
      <c r="O68" s="2">
        <f t="shared" si="12"/>
        <v>1</v>
      </c>
      <c r="P68" s="2" t="str">
        <f t="shared" si="13"/>
        <v>A</v>
      </c>
      <c r="Q68" s="2">
        <f t="shared" si="14"/>
        <v>18</v>
      </c>
      <c r="R68" s="2">
        <f t="shared" si="15"/>
        <v>18</v>
      </c>
      <c r="S68" s="2">
        <f t="shared" si="16"/>
        <v>0</v>
      </c>
      <c r="T68" s="2">
        <f t="shared" si="17"/>
        <v>0</v>
      </c>
      <c r="U68" s="2">
        <f t="shared" si="18"/>
        <v>0</v>
      </c>
      <c r="V68" s="2" t="b">
        <f t="shared" si="19"/>
        <v>1</v>
      </c>
      <c r="AA68" s="2">
        <f t="shared" si="20"/>
        <v>2025</v>
      </c>
      <c r="AB68" s="2" t="b">
        <f t="shared" si="21"/>
        <v>1</v>
      </c>
    </row>
    <row r="69" spans="1:28" x14ac:dyDescent="0.3">
      <c r="A69" s="2">
        <v>68</v>
      </c>
      <c r="B69" s="27">
        <v>45972</v>
      </c>
      <c r="C69" s="2" t="s">
        <v>41</v>
      </c>
      <c r="D69" s="6" t="s">
        <v>119</v>
      </c>
      <c r="E69" s="6" t="s">
        <v>104</v>
      </c>
      <c r="F69" s="6" t="s">
        <v>113</v>
      </c>
      <c r="G69" s="6" t="s">
        <v>111</v>
      </c>
      <c r="H69" s="2">
        <v>6</v>
      </c>
      <c r="I69" s="2">
        <v>7</v>
      </c>
      <c r="J69" s="2">
        <v>6</v>
      </c>
      <c r="K69" s="2">
        <v>4</v>
      </c>
      <c r="L69" s="2">
        <v>3</v>
      </c>
      <c r="M69" s="2">
        <v>5</v>
      </c>
      <c r="N69" s="2">
        <f t="shared" si="11"/>
        <v>1</v>
      </c>
      <c r="O69" s="2">
        <f t="shared" si="12"/>
        <v>2</v>
      </c>
      <c r="P69" s="2" t="str">
        <f t="shared" si="13"/>
        <v>B</v>
      </c>
      <c r="Q69" s="2">
        <f t="shared" si="14"/>
        <v>15</v>
      </c>
      <c r="R69" s="2">
        <f t="shared" si="15"/>
        <v>16</v>
      </c>
      <c r="S69" s="2">
        <f t="shared" si="16"/>
        <v>-1</v>
      </c>
      <c r="T69" s="2">
        <f t="shared" si="17"/>
        <v>0</v>
      </c>
      <c r="U69" s="2">
        <f t="shared" si="18"/>
        <v>0.02</v>
      </c>
      <c r="V69" s="2" t="b">
        <f t="shared" si="19"/>
        <v>1</v>
      </c>
      <c r="AA69" s="2">
        <f t="shared" si="20"/>
        <v>2025</v>
      </c>
      <c r="AB69" s="2" t="b">
        <f t="shared" si="21"/>
        <v>1</v>
      </c>
    </row>
    <row r="70" spans="1:28" x14ac:dyDescent="0.3">
      <c r="A70" s="2">
        <v>69</v>
      </c>
      <c r="B70" s="27">
        <v>45980</v>
      </c>
      <c r="C70" s="2" t="s">
        <v>41</v>
      </c>
      <c r="D70" s="6" t="s">
        <v>119</v>
      </c>
      <c r="E70" s="6" t="s">
        <v>105</v>
      </c>
      <c r="F70" s="6" t="s">
        <v>113</v>
      </c>
      <c r="G70" s="6" t="s">
        <v>109</v>
      </c>
      <c r="H70" s="2">
        <v>5</v>
      </c>
      <c r="I70" s="2">
        <v>7</v>
      </c>
      <c r="J70" s="2">
        <v>6</v>
      </c>
      <c r="K70" s="2">
        <v>0</v>
      </c>
      <c r="L70" s="2">
        <v>4</v>
      </c>
      <c r="M70" s="2">
        <v>6</v>
      </c>
      <c r="N70" s="2">
        <f t="shared" si="11"/>
        <v>1</v>
      </c>
      <c r="O70" s="2">
        <f t="shared" si="12"/>
        <v>2</v>
      </c>
      <c r="P70" s="2" t="str">
        <f t="shared" si="13"/>
        <v>B</v>
      </c>
      <c r="Q70" s="2">
        <f t="shared" si="14"/>
        <v>15</v>
      </c>
      <c r="R70" s="2">
        <f t="shared" si="15"/>
        <v>13</v>
      </c>
      <c r="S70" s="2">
        <f t="shared" si="16"/>
        <v>2</v>
      </c>
      <c r="T70" s="2">
        <f t="shared" si="17"/>
        <v>0.04</v>
      </c>
      <c r="U70" s="2">
        <f t="shared" si="18"/>
        <v>0</v>
      </c>
      <c r="V70" s="2" t="b">
        <f t="shared" si="19"/>
        <v>1</v>
      </c>
      <c r="AA70" s="2">
        <f t="shared" si="20"/>
        <v>2025</v>
      </c>
      <c r="AB70" s="2" t="b">
        <f t="shared" si="21"/>
        <v>1</v>
      </c>
    </row>
    <row r="71" spans="1:28" x14ac:dyDescent="0.3">
      <c r="A71" s="2">
        <v>70</v>
      </c>
      <c r="B71" s="27">
        <v>45982</v>
      </c>
      <c r="C71" s="2" t="s">
        <v>41</v>
      </c>
      <c r="D71" s="6" t="s">
        <v>119</v>
      </c>
      <c r="E71" s="6" t="s">
        <v>111</v>
      </c>
      <c r="F71" s="6" t="s">
        <v>108</v>
      </c>
      <c r="G71" s="6" t="s">
        <v>113</v>
      </c>
      <c r="H71" s="2">
        <v>3</v>
      </c>
      <c r="I71" s="2">
        <v>6</v>
      </c>
      <c r="J71" s="2">
        <v>2</v>
      </c>
      <c r="K71" s="2">
        <v>6</v>
      </c>
      <c r="L71" s="2"/>
      <c r="M71" s="2"/>
      <c r="N71" s="2">
        <f t="shared" si="11"/>
        <v>0</v>
      </c>
      <c r="O71" s="2">
        <f t="shared" si="12"/>
        <v>2</v>
      </c>
      <c r="P71" s="2" t="str">
        <f t="shared" si="13"/>
        <v>B</v>
      </c>
      <c r="Q71" s="2">
        <f t="shared" si="14"/>
        <v>5</v>
      </c>
      <c r="R71" s="2">
        <f t="shared" si="15"/>
        <v>12</v>
      </c>
      <c r="S71" s="2">
        <f t="shared" si="16"/>
        <v>-7</v>
      </c>
      <c r="T71" s="2">
        <f t="shared" si="17"/>
        <v>0</v>
      </c>
      <c r="U71" s="2">
        <f t="shared" si="18"/>
        <v>0.14000000000000001</v>
      </c>
      <c r="V71" s="2" t="b">
        <f t="shared" si="19"/>
        <v>1</v>
      </c>
      <c r="AA71" s="2">
        <f t="shared" si="20"/>
        <v>2025</v>
      </c>
      <c r="AB71" s="2" t="b">
        <f t="shared" si="21"/>
        <v>1</v>
      </c>
    </row>
    <row r="72" spans="1:28" x14ac:dyDescent="0.3">
      <c r="A72" s="2">
        <v>71</v>
      </c>
      <c r="B72" s="27">
        <v>45989</v>
      </c>
      <c r="C72" s="2" t="s">
        <v>41</v>
      </c>
      <c r="D72" s="6" t="s">
        <v>108</v>
      </c>
      <c r="E72" s="6" t="s">
        <v>115</v>
      </c>
      <c r="F72" s="6" t="s">
        <v>105</v>
      </c>
      <c r="G72" s="6" t="s">
        <v>109</v>
      </c>
      <c r="H72" s="2">
        <v>4</v>
      </c>
      <c r="I72" s="2">
        <v>6</v>
      </c>
      <c r="J72" s="2">
        <v>2</v>
      </c>
      <c r="K72" s="2">
        <v>6</v>
      </c>
      <c r="L72" s="2"/>
      <c r="M72" s="2"/>
      <c r="N72" s="2">
        <f t="shared" si="11"/>
        <v>0</v>
      </c>
      <c r="O72" s="2">
        <f t="shared" si="12"/>
        <v>2</v>
      </c>
      <c r="P72" s="2" t="str">
        <f t="shared" si="13"/>
        <v>B</v>
      </c>
      <c r="Q72" s="2">
        <f t="shared" si="14"/>
        <v>6</v>
      </c>
      <c r="R72" s="2">
        <f t="shared" si="15"/>
        <v>12</v>
      </c>
      <c r="S72" s="2">
        <f t="shared" si="16"/>
        <v>-6</v>
      </c>
      <c r="T72" s="2">
        <f t="shared" si="17"/>
        <v>0</v>
      </c>
      <c r="U72" s="2">
        <f t="shared" si="18"/>
        <v>0.12</v>
      </c>
      <c r="V72" s="2" t="b">
        <f t="shared" si="19"/>
        <v>0</v>
      </c>
      <c r="AA72" s="2">
        <f t="shared" si="20"/>
        <v>2025</v>
      </c>
      <c r="AB72" s="2" t="b">
        <f t="shared" si="21"/>
        <v>1</v>
      </c>
    </row>
    <row r="73" spans="1:28" x14ac:dyDescent="0.3">
      <c r="A73" s="2">
        <v>72</v>
      </c>
      <c r="B73" s="27">
        <v>45989</v>
      </c>
      <c r="C73" s="2" t="s">
        <v>41</v>
      </c>
      <c r="D73" s="6" t="s">
        <v>104</v>
      </c>
      <c r="E73" s="6" t="s">
        <v>113</v>
      </c>
      <c r="F73" s="6" t="s">
        <v>108</v>
      </c>
      <c r="G73" s="6" t="s">
        <v>109</v>
      </c>
      <c r="H73" s="2">
        <v>6</v>
      </c>
      <c r="I73" s="2">
        <v>2</v>
      </c>
      <c r="J73" s="2">
        <v>7</v>
      </c>
      <c r="K73" s="2">
        <v>5</v>
      </c>
      <c r="L73" s="2"/>
      <c r="M73" s="2"/>
      <c r="N73" s="2">
        <f t="shared" si="11"/>
        <v>2</v>
      </c>
      <c r="O73" s="2">
        <f t="shared" si="12"/>
        <v>0</v>
      </c>
      <c r="P73" s="2" t="str">
        <f t="shared" si="13"/>
        <v>A</v>
      </c>
      <c r="Q73" s="2">
        <f t="shared" si="14"/>
        <v>13</v>
      </c>
      <c r="R73" s="2">
        <f t="shared" si="15"/>
        <v>7</v>
      </c>
      <c r="S73" s="2">
        <f t="shared" si="16"/>
        <v>6</v>
      </c>
      <c r="T73" s="2">
        <f t="shared" si="17"/>
        <v>0.12</v>
      </c>
      <c r="U73" s="2">
        <f t="shared" si="18"/>
        <v>0</v>
      </c>
      <c r="V73" s="2" t="b">
        <f t="shared" si="19"/>
        <v>0</v>
      </c>
      <c r="AA73" s="2">
        <f t="shared" si="20"/>
        <v>2025</v>
      </c>
      <c r="AB73" s="2" t="b">
        <f t="shared" si="21"/>
        <v>1</v>
      </c>
    </row>
    <row r="74" spans="1:28" x14ac:dyDescent="0.3">
      <c r="A74" s="2">
        <v>73</v>
      </c>
      <c r="B74" s="27">
        <v>45993</v>
      </c>
      <c r="C74" s="2" t="s">
        <v>41</v>
      </c>
      <c r="D74" s="6" t="s">
        <v>104</v>
      </c>
      <c r="E74" s="6" t="s">
        <v>113</v>
      </c>
      <c r="F74" s="6" t="s">
        <v>111</v>
      </c>
      <c r="G74" s="6" t="s">
        <v>118</v>
      </c>
      <c r="H74" s="2">
        <v>6</v>
      </c>
      <c r="I74" s="2">
        <v>4</v>
      </c>
      <c r="J74" s="2">
        <v>6</v>
      </c>
      <c r="K74" s="2">
        <v>3</v>
      </c>
      <c r="L74" s="2">
        <v>7</v>
      </c>
      <c r="M74" s="2">
        <v>6</v>
      </c>
      <c r="N74" s="2">
        <f t="shared" si="11"/>
        <v>3</v>
      </c>
      <c r="O74" s="2">
        <f t="shared" si="12"/>
        <v>0</v>
      </c>
      <c r="P74" s="2" t="str">
        <f t="shared" si="13"/>
        <v>A</v>
      </c>
      <c r="Q74" s="2">
        <f t="shared" si="14"/>
        <v>19</v>
      </c>
      <c r="R74" s="2">
        <f t="shared" si="15"/>
        <v>13</v>
      </c>
      <c r="S74" s="2">
        <f t="shared" si="16"/>
        <v>6</v>
      </c>
      <c r="T74" s="2">
        <f t="shared" si="17"/>
        <v>0.12</v>
      </c>
      <c r="U74" s="2">
        <f t="shared" si="18"/>
        <v>0</v>
      </c>
      <c r="V74" s="2" t="b">
        <f t="shared" si="19"/>
        <v>0</v>
      </c>
      <c r="AA74" s="2">
        <f t="shared" si="20"/>
        <v>2025</v>
      </c>
      <c r="AB74" s="2" t="b">
        <f t="shared" si="21"/>
        <v>1</v>
      </c>
    </row>
    <row r="75" spans="1:28" x14ac:dyDescent="0.3">
      <c r="A75" s="2">
        <v>74</v>
      </c>
      <c r="B75" s="4"/>
      <c r="C75" s="4" t="s">
        <v>41</v>
      </c>
      <c r="D75" s="3"/>
      <c r="E75" s="3"/>
      <c r="F75" s="3"/>
      <c r="G75" s="3"/>
      <c r="H75" s="4"/>
      <c r="I75" s="4"/>
      <c r="J75" s="4"/>
      <c r="K75" s="4"/>
      <c r="L75" s="4"/>
      <c r="M75" s="4"/>
      <c r="N75" s="2" t="str">
        <f t="shared" si="11"/>
        <v/>
      </c>
      <c r="O75" s="2" t="str">
        <f t="shared" si="12"/>
        <v/>
      </c>
      <c r="P75" s="2" t="str">
        <f t="shared" si="13"/>
        <v/>
      </c>
      <c r="Q75" s="2" t="str">
        <f t="shared" si="14"/>
        <v/>
      </c>
      <c r="R75" s="2" t="str">
        <f t="shared" si="15"/>
        <v/>
      </c>
      <c r="S75" s="2" t="str">
        <f t="shared" si="16"/>
        <v/>
      </c>
      <c r="T75" s="2" t="str">
        <f t="shared" si="17"/>
        <v/>
      </c>
      <c r="U75" s="2" t="str">
        <f t="shared" si="18"/>
        <v/>
      </c>
      <c r="V75" s="2" t="b">
        <f t="shared" si="19"/>
        <v>0</v>
      </c>
      <c r="AA75" s="2" t="str">
        <f t="shared" si="20"/>
        <v/>
      </c>
      <c r="AB75" s="2" t="b">
        <f t="shared" si="21"/>
        <v>0</v>
      </c>
    </row>
    <row r="76" spans="1:28" x14ac:dyDescent="0.3">
      <c r="A76" s="2">
        <v>75</v>
      </c>
      <c r="B76" s="4"/>
      <c r="C76" s="4" t="s">
        <v>41</v>
      </c>
      <c r="D76" s="3"/>
      <c r="E76" s="3"/>
      <c r="F76" s="3"/>
      <c r="G76" s="3"/>
      <c r="H76" s="4"/>
      <c r="I76" s="4"/>
      <c r="J76" s="4"/>
      <c r="K76" s="4"/>
      <c r="L76" s="4"/>
      <c r="M76" s="4"/>
      <c r="N76" s="2" t="str">
        <f t="shared" si="11"/>
        <v/>
      </c>
      <c r="O76" s="2" t="str">
        <f t="shared" si="12"/>
        <v/>
      </c>
      <c r="P76" s="2" t="str">
        <f t="shared" si="13"/>
        <v/>
      </c>
      <c r="Q76" s="2" t="str">
        <f t="shared" si="14"/>
        <v/>
      </c>
      <c r="R76" s="2" t="str">
        <f t="shared" si="15"/>
        <v/>
      </c>
      <c r="S76" s="2" t="str">
        <f t="shared" si="16"/>
        <v/>
      </c>
      <c r="T76" s="2" t="str">
        <f t="shared" si="17"/>
        <v/>
      </c>
      <c r="U76" s="2" t="str">
        <f t="shared" si="18"/>
        <v/>
      </c>
      <c r="V76" s="2" t="b">
        <f t="shared" si="19"/>
        <v>0</v>
      </c>
      <c r="AA76" s="2" t="str">
        <f t="shared" si="20"/>
        <v/>
      </c>
      <c r="AB76" s="2" t="b">
        <f t="shared" si="21"/>
        <v>0</v>
      </c>
    </row>
    <row r="77" spans="1:28" x14ac:dyDescent="0.3">
      <c r="A77" s="2">
        <v>76</v>
      </c>
      <c r="B77" s="4"/>
      <c r="C77" s="4" t="s">
        <v>41</v>
      </c>
      <c r="D77" s="3"/>
      <c r="E77" s="3"/>
      <c r="F77" s="3"/>
      <c r="G77" s="3"/>
      <c r="H77" s="4"/>
      <c r="I77" s="4"/>
      <c r="J77" s="4"/>
      <c r="K77" s="4"/>
      <c r="L77" s="4"/>
      <c r="M77" s="4"/>
      <c r="N77" s="2" t="str">
        <f t="shared" si="11"/>
        <v/>
      </c>
      <c r="O77" s="2" t="str">
        <f t="shared" si="12"/>
        <v/>
      </c>
      <c r="P77" s="2" t="str">
        <f t="shared" si="13"/>
        <v/>
      </c>
      <c r="Q77" s="2" t="str">
        <f t="shared" si="14"/>
        <v/>
      </c>
      <c r="R77" s="2" t="str">
        <f t="shared" si="15"/>
        <v/>
      </c>
      <c r="S77" s="2" t="str">
        <f t="shared" si="16"/>
        <v/>
      </c>
      <c r="T77" s="2" t="str">
        <f t="shared" si="17"/>
        <v/>
      </c>
      <c r="U77" s="2" t="str">
        <f t="shared" si="18"/>
        <v/>
      </c>
      <c r="V77" s="2" t="b">
        <f t="shared" si="19"/>
        <v>0</v>
      </c>
      <c r="AA77" s="2" t="str">
        <f t="shared" si="20"/>
        <v/>
      </c>
      <c r="AB77" s="2" t="b">
        <f t="shared" si="21"/>
        <v>0</v>
      </c>
    </row>
    <row r="78" spans="1:28" x14ac:dyDescent="0.3">
      <c r="A78" s="2">
        <v>77</v>
      </c>
      <c r="B78" s="4"/>
      <c r="C78" s="4" t="s">
        <v>41</v>
      </c>
      <c r="D78" s="3"/>
      <c r="E78" s="3"/>
      <c r="F78" s="3"/>
      <c r="G78" s="3"/>
      <c r="H78" s="4"/>
      <c r="I78" s="4"/>
      <c r="J78" s="4"/>
      <c r="K78" s="4"/>
      <c r="L78" s="4"/>
      <c r="M78" s="4"/>
      <c r="N78" s="2" t="str">
        <f t="shared" si="11"/>
        <v/>
      </c>
      <c r="O78" s="2" t="str">
        <f t="shared" si="12"/>
        <v/>
      </c>
      <c r="P78" s="2" t="str">
        <f t="shared" si="13"/>
        <v/>
      </c>
      <c r="Q78" s="2" t="str">
        <f t="shared" si="14"/>
        <v/>
      </c>
      <c r="R78" s="2" t="str">
        <f t="shared" si="15"/>
        <v/>
      </c>
      <c r="S78" s="2" t="str">
        <f t="shared" si="16"/>
        <v/>
      </c>
      <c r="T78" s="2" t="str">
        <f t="shared" si="17"/>
        <v/>
      </c>
      <c r="U78" s="2" t="str">
        <f t="shared" si="18"/>
        <v/>
      </c>
      <c r="V78" s="2" t="b">
        <f t="shared" si="19"/>
        <v>0</v>
      </c>
      <c r="AA78" s="2" t="str">
        <f t="shared" si="20"/>
        <v/>
      </c>
      <c r="AB78" s="2" t="b">
        <f t="shared" si="21"/>
        <v>0</v>
      </c>
    </row>
    <row r="79" spans="1:28" x14ac:dyDescent="0.3">
      <c r="A79" s="2">
        <v>78</v>
      </c>
      <c r="B79" s="4"/>
      <c r="C79" s="4" t="s">
        <v>41</v>
      </c>
      <c r="D79" s="3"/>
      <c r="E79" s="3"/>
      <c r="F79" s="3"/>
      <c r="G79" s="3"/>
      <c r="H79" s="4"/>
      <c r="I79" s="4"/>
      <c r="J79" s="4"/>
      <c r="K79" s="4"/>
      <c r="L79" s="4"/>
      <c r="M79" s="4"/>
      <c r="N79" s="2" t="str">
        <f t="shared" si="11"/>
        <v/>
      </c>
      <c r="O79" s="2" t="str">
        <f t="shared" si="12"/>
        <v/>
      </c>
      <c r="P79" s="2" t="str">
        <f t="shared" si="13"/>
        <v/>
      </c>
      <c r="Q79" s="2" t="str">
        <f t="shared" si="14"/>
        <v/>
      </c>
      <c r="R79" s="2" t="str">
        <f t="shared" si="15"/>
        <v/>
      </c>
      <c r="S79" s="2" t="str">
        <f t="shared" si="16"/>
        <v/>
      </c>
      <c r="T79" s="2" t="str">
        <f t="shared" si="17"/>
        <v/>
      </c>
      <c r="U79" s="2" t="str">
        <f t="shared" si="18"/>
        <v/>
      </c>
      <c r="V79" s="2" t="b">
        <f t="shared" si="19"/>
        <v>0</v>
      </c>
      <c r="AA79" s="2" t="str">
        <f t="shared" si="20"/>
        <v/>
      </c>
      <c r="AB79" s="2" t="b">
        <f t="shared" si="21"/>
        <v>0</v>
      </c>
    </row>
    <row r="80" spans="1:28" x14ac:dyDescent="0.3">
      <c r="A80" s="2">
        <v>79</v>
      </c>
      <c r="B80" s="4"/>
      <c r="C80" s="4" t="s">
        <v>41</v>
      </c>
      <c r="D80" s="3"/>
      <c r="E80" s="3"/>
      <c r="F80" s="3"/>
      <c r="G80" s="3"/>
      <c r="H80" s="4"/>
      <c r="I80" s="4"/>
      <c r="J80" s="4"/>
      <c r="K80" s="4"/>
      <c r="L80" s="4"/>
      <c r="M80" s="4"/>
      <c r="N80" s="2" t="str">
        <f t="shared" si="11"/>
        <v/>
      </c>
      <c r="O80" s="2" t="str">
        <f t="shared" si="12"/>
        <v/>
      </c>
      <c r="P80" s="2" t="str">
        <f t="shared" si="13"/>
        <v/>
      </c>
      <c r="Q80" s="2" t="str">
        <f t="shared" si="14"/>
        <v/>
      </c>
      <c r="R80" s="2" t="str">
        <f t="shared" si="15"/>
        <v/>
      </c>
      <c r="S80" s="2" t="str">
        <f t="shared" si="16"/>
        <v/>
      </c>
      <c r="T80" s="2" t="str">
        <f t="shared" si="17"/>
        <v/>
      </c>
      <c r="U80" s="2" t="str">
        <f t="shared" si="18"/>
        <v/>
      </c>
      <c r="V80" s="2" t="b">
        <f t="shared" si="19"/>
        <v>0</v>
      </c>
      <c r="AA80" s="2" t="str">
        <f t="shared" si="20"/>
        <v/>
      </c>
      <c r="AB80" s="2" t="b">
        <f t="shared" si="21"/>
        <v>0</v>
      </c>
    </row>
    <row r="81" spans="1:28" x14ac:dyDescent="0.3">
      <c r="A81" s="2">
        <v>80</v>
      </c>
      <c r="B81" s="4"/>
      <c r="C81" s="4" t="s">
        <v>41</v>
      </c>
      <c r="D81" s="3"/>
      <c r="E81" s="3"/>
      <c r="F81" s="3"/>
      <c r="G81" s="3"/>
      <c r="H81" s="4"/>
      <c r="I81" s="4"/>
      <c r="J81" s="4"/>
      <c r="K81" s="4"/>
      <c r="L81" s="4"/>
      <c r="M81" s="4"/>
      <c r="N81" s="2" t="str">
        <f t="shared" si="11"/>
        <v/>
      </c>
      <c r="O81" s="2" t="str">
        <f t="shared" si="12"/>
        <v/>
      </c>
      <c r="P81" s="2" t="str">
        <f t="shared" si="13"/>
        <v/>
      </c>
      <c r="Q81" s="2" t="str">
        <f t="shared" si="14"/>
        <v/>
      </c>
      <c r="R81" s="2" t="str">
        <f t="shared" si="15"/>
        <v/>
      </c>
      <c r="S81" s="2" t="str">
        <f t="shared" si="16"/>
        <v/>
      </c>
      <c r="T81" s="2" t="str">
        <f t="shared" si="17"/>
        <v/>
      </c>
      <c r="U81" s="2" t="str">
        <f t="shared" si="18"/>
        <v/>
      </c>
      <c r="V81" s="2" t="b">
        <f t="shared" si="19"/>
        <v>0</v>
      </c>
      <c r="AA81" s="2" t="str">
        <f t="shared" si="20"/>
        <v/>
      </c>
      <c r="AB81" s="2" t="b">
        <f t="shared" si="21"/>
        <v>0</v>
      </c>
    </row>
    <row r="82" spans="1:28" x14ac:dyDescent="0.3">
      <c r="A82" s="2">
        <v>81</v>
      </c>
      <c r="B82" s="4"/>
      <c r="C82" s="4" t="s">
        <v>41</v>
      </c>
      <c r="D82" s="3"/>
      <c r="E82" s="3"/>
      <c r="F82" s="3"/>
      <c r="G82" s="3"/>
      <c r="H82" s="4"/>
      <c r="I82" s="4"/>
      <c r="J82" s="4"/>
      <c r="K82" s="4"/>
      <c r="L82" s="4"/>
      <c r="M82" s="4"/>
      <c r="N82" s="2" t="str">
        <f t="shared" si="11"/>
        <v/>
      </c>
      <c r="O82" s="2" t="str">
        <f t="shared" si="12"/>
        <v/>
      </c>
      <c r="P82" s="2" t="str">
        <f t="shared" si="13"/>
        <v/>
      </c>
      <c r="Q82" s="2" t="str">
        <f t="shared" si="14"/>
        <v/>
      </c>
      <c r="R82" s="2" t="str">
        <f t="shared" si="15"/>
        <v/>
      </c>
      <c r="S82" s="2" t="str">
        <f t="shared" si="16"/>
        <v/>
      </c>
      <c r="T82" s="2" t="str">
        <f t="shared" si="17"/>
        <v/>
      </c>
      <c r="U82" s="2" t="str">
        <f t="shared" si="18"/>
        <v/>
      </c>
      <c r="V82" s="2" t="b">
        <f t="shared" si="19"/>
        <v>0</v>
      </c>
      <c r="AA82" s="2" t="str">
        <f t="shared" si="20"/>
        <v/>
      </c>
      <c r="AB82" s="2" t="b">
        <f t="shared" si="21"/>
        <v>0</v>
      </c>
    </row>
    <row r="83" spans="1:28" x14ac:dyDescent="0.3">
      <c r="A83" s="2">
        <v>82</v>
      </c>
      <c r="B83" s="4"/>
      <c r="C83" s="4" t="s">
        <v>41</v>
      </c>
      <c r="D83" s="3"/>
      <c r="E83" s="3"/>
      <c r="F83" s="3"/>
      <c r="G83" s="3"/>
      <c r="H83" s="4"/>
      <c r="I83" s="4"/>
      <c r="J83" s="4"/>
      <c r="K83" s="4"/>
      <c r="L83" s="4"/>
      <c r="M83" s="4"/>
      <c r="N83" s="2" t="str">
        <f t="shared" si="11"/>
        <v/>
      </c>
      <c r="O83" s="2" t="str">
        <f t="shared" si="12"/>
        <v/>
      </c>
      <c r="P83" s="2" t="str">
        <f t="shared" si="13"/>
        <v/>
      </c>
      <c r="Q83" s="2" t="str">
        <f t="shared" si="14"/>
        <v/>
      </c>
      <c r="R83" s="2" t="str">
        <f t="shared" si="15"/>
        <v/>
      </c>
      <c r="S83" s="2" t="str">
        <f t="shared" si="16"/>
        <v/>
      </c>
      <c r="T83" s="2" t="str">
        <f t="shared" si="17"/>
        <v/>
      </c>
      <c r="U83" s="2" t="str">
        <f t="shared" si="18"/>
        <v/>
      </c>
      <c r="V83" s="2" t="b">
        <f t="shared" si="19"/>
        <v>0</v>
      </c>
      <c r="AA83" s="2" t="str">
        <f t="shared" si="20"/>
        <v/>
      </c>
      <c r="AB83" s="2" t="b">
        <f t="shared" si="21"/>
        <v>0</v>
      </c>
    </row>
    <row r="84" spans="1:28" x14ac:dyDescent="0.3">
      <c r="A84" s="2">
        <v>83</v>
      </c>
      <c r="B84" s="4"/>
      <c r="C84" s="4" t="s">
        <v>41</v>
      </c>
      <c r="D84" s="3"/>
      <c r="E84" s="3"/>
      <c r="F84" s="3"/>
      <c r="G84" s="3"/>
      <c r="H84" s="4"/>
      <c r="I84" s="4"/>
      <c r="J84" s="4"/>
      <c r="K84" s="4"/>
      <c r="L84" s="4"/>
      <c r="M84" s="4"/>
      <c r="N84" s="2" t="str">
        <f t="shared" si="11"/>
        <v/>
      </c>
      <c r="O84" s="2" t="str">
        <f t="shared" si="12"/>
        <v/>
      </c>
      <c r="P84" s="2" t="str">
        <f t="shared" si="13"/>
        <v/>
      </c>
      <c r="Q84" s="2" t="str">
        <f t="shared" si="14"/>
        <v/>
      </c>
      <c r="R84" s="2" t="str">
        <f t="shared" si="15"/>
        <v/>
      </c>
      <c r="S84" s="2" t="str">
        <f t="shared" si="16"/>
        <v/>
      </c>
      <c r="T84" s="2" t="str">
        <f t="shared" si="17"/>
        <v/>
      </c>
      <c r="U84" s="2" t="str">
        <f t="shared" si="18"/>
        <v/>
      </c>
      <c r="V84" s="2" t="b">
        <f t="shared" si="19"/>
        <v>0</v>
      </c>
      <c r="AA84" s="2" t="str">
        <f t="shared" si="20"/>
        <v/>
      </c>
      <c r="AB84" s="2" t="b">
        <f t="shared" si="21"/>
        <v>0</v>
      </c>
    </row>
    <row r="85" spans="1:28" x14ac:dyDescent="0.3">
      <c r="A85" s="2">
        <v>84</v>
      </c>
      <c r="B85" s="4"/>
      <c r="C85" s="4" t="s">
        <v>41</v>
      </c>
      <c r="D85" s="3"/>
      <c r="E85" s="3"/>
      <c r="F85" s="3"/>
      <c r="G85" s="3"/>
      <c r="H85" s="4"/>
      <c r="I85" s="4"/>
      <c r="J85" s="4"/>
      <c r="K85" s="4"/>
      <c r="L85" s="4"/>
      <c r="M85" s="4"/>
      <c r="N85" s="2" t="str">
        <f t="shared" si="11"/>
        <v/>
      </c>
      <c r="O85" s="2" t="str">
        <f t="shared" si="12"/>
        <v/>
      </c>
      <c r="P85" s="2" t="str">
        <f t="shared" si="13"/>
        <v/>
      </c>
      <c r="Q85" s="2" t="str">
        <f t="shared" si="14"/>
        <v/>
      </c>
      <c r="R85" s="2" t="str">
        <f t="shared" si="15"/>
        <v/>
      </c>
      <c r="S85" s="2" t="str">
        <f t="shared" si="16"/>
        <v/>
      </c>
      <c r="T85" s="2" t="str">
        <f t="shared" si="17"/>
        <v/>
      </c>
      <c r="U85" s="2" t="str">
        <f t="shared" si="18"/>
        <v/>
      </c>
      <c r="V85" s="2" t="b">
        <f t="shared" si="19"/>
        <v>0</v>
      </c>
      <c r="AA85" s="2" t="str">
        <f t="shared" si="20"/>
        <v/>
      </c>
      <c r="AB85" s="2" t="b">
        <f t="shared" si="21"/>
        <v>0</v>
      </c>
    </row>
    <row r="86" spans="1:28" x14ac:dyDescent="0.3">
      <c r="A86" s="2">
        <v>85</v>
      </c>
      <c r="B86" s="4"/>
      <c r="C86" s="4" t="s">
        <v>41</v>
      </c>
      <c r="D86" s="3"/>
      <c r="E86" s="3"/>
      <c r="F86" s="3"/>
      <c r="G86" s="3"/>
      <c r="H86" s="4"/>
      <c r="I86" s="4"/>
      <c r="J86" s="4"/>
      <c r="K86" s="4"/>
      <c r="L86" s="4"/>
      <c r="M86" s="4"/>
      <c r="N86" s="2" t="str">
        <f t="shared" si="11"/>
        <v/>
      </c>
      <c r="O86" s="2" t="str">
        <f t="shared" si="12"/>
        <v/>
      </c>
      <c r="P86" s="2" t="str">
        <f t="shared" si="13"/>
        <v/>
      </c>
      <c r="Q86" s="2" t="str">
        <f t="shared" si="14"/>
        <v/>
      </c>
      <c r="R86" s="2" t="str">
        <f t="shared" si="15"/>
        <v/>
      </c>
      <c r="S86" s="2" t="str">
        <f t="shared" si="16"/>
        <v/>
      </c>
      <c r="T86" s="2" t="str">
        <f t="shared" si="17"/>
        <v/>
      </c>
      <c r="U86" s="2" t="str">
        <f t="shared" si="18"/>
        <v/>
      </c>
      <c r="V86" s="2" t="b">
        <f t="shared" si="19"/>
        <v>0</v>
      </c>
      <c r="AA86" s="2" t="str">
        <f t="shared" si="20"/>
        <v/>
      </c>
      <c r="AB86" s="2" t="b">
        <f t="shared" si="21"/>
        <v>0</v>
      </c>
    </row>
    <row r="87" spans="1:28" x14ac:dyDescent="0.3">
      <c r="A87" s="2">
        <v>86</v>
      </c>
      <c r="B87" s="4"/>
      <c r="C87" s="4" t="s">
        <v>41</v>
      </c>
      <c r="D87" s="3"/>
      <c r="E87" s="3"/>
      <c r="F87" s="3"/>
      <c r="G87" s="3"/>
      <c r="H87" s="4"/>
      <c r="I87" s="4"/>
      <c r="J87" s="4"/>
      <c r="K87" s="4"/>
      <c r="L87" s="4"/>
      <c r="M87" s="4"/>
      <c r="N87" s="2" t="str">
        <f t="shared" si="11"/>
        <v/>
      </c>
      <c r="O87" s="2" t="str">
        <f t="shared" si="12"/>
        <v/>
      </c>
      <c r="P87" s="2" t="str">
        <f t="shared" si="13"/>
        <v/>
      </c>
      <c r="Q87" s="2" t="str">
        <f t="shared" si="14"/>
        <v/>
      </c>
      <c r="R87" s="2" t="str">
        <f t="shared" si="15"/>
        <v/>
      </c>
      <c r="S87" s="2" t="str">
        <f t="shared" si="16"/>
        <v/>
      </c>
      <c r="T87" s="2" t="str">
        <f t="shared" si="17"/>
        <v/>
      </c>
      <c r="U87" s="2" t="str">
        <f t="shared" si="18"/>
        <v/>
      </c>
      <c r="V87" s="2" t="b">
        <f t="shared" si="19"/>
        <v>0</v>
      </c>
      <c r="AA87" s="2" t="str">
        <f t="shared" si="20"/>
        <v/>
      </c>
      <c r="AB87" s="2" t="b">
        <f t="shared" si="21"/>
        <v>0</v>
      </c>
    </row>
    <row r="88" spans="1:28" x14ac:dyDescent="0.3">
      <c r="A88" s="2">
        <v>87</v>
      </c>
      <c r="B88" s="4"/>
      <c r="C88" s="4" t="s">
        <v>41</v>
      </c>
      <c r="D88" s="3"/>
      <c r="E88" s="3"/>
      <c r="F88" s="3"/>
      <c r="G88" s="3"/>
      <c r="H88" s="4"/>
      <c r="I88" s="4"/>
      <c r="J88" s="4"/>
      <c r="K88" s="4"/>
      <c r="L88" s="4"/>
      <c r="M88" s="4"/>
      <c r="N88" s="2" t="str">
        <f t="shared" si="11"/>
        <v/>
      </c>
      <c r="O88" s="2" t="str">
        <f t="shared" si="12"/>
        <v/>
      </c>
      <c r="P88" s="2" t="str">
        <f t="shared" si="13"/>
        <v/>
      </c>
      <c r="Q88" s="2" t="str">
        <f t="shared" si="14"/>
        <v/>
      </c>
      <c r="R88" s="2" t="str">
        <f t="shared" si="15"/>
        <v/>
      </c>
      <c r="S88" s="2" t="str">
        <f t="shared" si="16"/>
        <v/>
      </c>
      <c r="T88" s="2" t="str">
        <f t="shared" si="17"/>
        <v/>
      </c>
      <c r="U88" s="2" t="str">
        <f t="shared" si="18"/>
        <v/>
      </c>
      <c r="V88" s="2" t="b">
        <f t="shared" si="19"/>
        <v>0</v>
      </c>
      <c r="AA88" s="2" t="str">
        <f t="shared" si="20"/>
        <v/>
      </c>
      <c r="AB88" s="2" t="b">
        <f t="shared" si="21"/>
        <v>0</v>
      </c>
    </row>
    <row r="89" spans="1:28" x14ac:dyDescent="0.3">
      <c r="A89" s="2">
        <v>88</v>
      </c>
      <c r="B89" s="4"/>
      <c r="C89" s="4" t="s">
        <v>41</v>
      </c>
      <c r="D89" s="3"/>
      <c r="E89" s="3"/>
      <c r="F89" s="3"/>
      <c r="G89" s="3"/>
      <c r="H89" s="4"/>
      <c r="I89" s="4"/>
      <c r="J89" s="4"/>
      <c r="K89" s="4"/>
      <c r="L89" s="4"/>
      <c r="M89" s="4"/>
      <c r="N89" s="2" t="str">
        <f t="shared" si="11"/>
        <v/>
      </c>
      <c r="O89" s="2" t="str">
        <f t="shared" si="12"/>
        <v/>
      </c>
      <c r="P89" s="2" t="str">
        <f t="shared" si="13"/>
        <v/>
      </c>
      <c r="Q89" s="2" t="str">
        <f t="shared" si="14"/>
        <v/>
      </c>
      <c r="R89" s="2" t="str">
        <f t="shared" si="15"/>
        <v/>
      </c>
      <c r="S89" s="2" t="str">
        <f t="shared" si="16"/>
        <v/>
      </c>
      <c r="T89" s="2" t="str">
        <f t="shared" si="17"/>
        <v/>
      </c>
      <c r="U89" s="2" t="str">
        <f t="shared" si="18"/>
        <v/>
      </c>
      <c r="V89" s="2" t="b">
        <f t="shared" si="19"/>
        <v>0</v>
      </c>
      <c r="AA89" s="2" t="str">
        <f t="shared" si="20"/>
        <v/>
      </c>
      <c r="AB89" s="2" t="b">
        <f t="shared" si="21"/>
        <v>0</v>
      </c>
    </row>
    <row r="90" spans="1:28" x14ac:dyDescent="0.3">
      <c r="A90" s="2">
        <v>89</v>
      </c>
      <c r="B90" s="4"/>
      <c r="C90" s="4" t="s">
        <v>41</v>
      </c>
      <c r="D90" s="3"/>
      <c r="E90" s="3"/>
      <c r="F90" s="3"/>
      <c r="G90" s="3"/>
      <c r="H90" s="4"/>
      <c r="I90" s="4"/>
      <c r="J90" s="4"/>
      <c r="K90" s="4"/>
      <c r="L90" s="4"/>
      <c r="M90" s="4"/>
      <c r="N90" s="2" t="str">
        <f t="shared" si="11"/>
        <v/>
      </c>
      <c r="O90" s="2" t="str">
        <f t="shared" si="12"/>
        <v/>
      </c>
      <c r="P90" s="2" t="str">
        <f t="shared" si="13"/>
        <v/>
      </c>
      <c r="Q90" s="2" t="str">
        <f t="shared" si="14"/>
        <v/>
      </c>
      <c r="R90" s="2" t="str">
        <f t="shared" si="15"/>
        <v/>
      </c>
      <c r="S90" s="2" t="str">
        <f t="shared" si="16"/>
        <v/>
      </c>
      <c r="T90" s="2" t="str">
        <f t="shared" si="17"/>
        <v/>
      </c>
      <c r="U90" s="2" t="str">
        <f t="shared" si="18"/>
        <v/>
      </c>
      <c r="V90" s="2" t="b">
        <f t="shared" si="19"/>
        <v>0</v>
      </c>
      <c r="AA90" s="2" t="str">
        <f t="shared" si="20"/>
        <v/>
      </c>
      <c r="AB90" s="2" t="b">
        <f t="shared" si="21"/>
        <v>0</v>
      </c>
    </row>
    <row r="91" spans="1:28" x14ac:dyDescent="0.3">
      <c r="A91" s="2">
        <v>90</v>
      </c>
      <c r="B91" s="4"/>
      <c r="C91" s="4" t="s">
        <v>41</v>
      </c>
      <c r="D91" s="3"/>
      <c r="E91" s="3"/>
      <c r="F91" s="3"/>
      <c r="G91" s="3"/>
      <c r="H91" s="4"/>
      <c r="I91" s="4"/>
      <c r="J91" s="4"/>
      <c r="K91" s="4"/>
      <c r="L91" s="4"/>
      <c r="M91" s="4"/>
      <c r="N91" s="2" t="str">
        <f t="shared" si="11"/>
        <v/>
      </c>
      <c r="O91" s="2" t="str">
        <f t="shared" si="12"/>
        <v/>
      </c>
      <c r="P91" s="2" t="str">
        <f t="shared" si="13"/>
        <v/>
      </c>
      <c r="Q91" s="2" t="str">
        <f t="shared" si="14"/>
        <v/>
      </c>
      <c r="R91" s="2" t="str">
        <f t="shared" si="15"/>
        <v/>
      </c>
      <c r="S91" s="2" t="str">
        <f t="shared" si="16"/>
        <v/>
      </c>
      <c r="T91" s="2" t="str">
        <f t="shared" si="17"/>
        <v/>
      </c>
      <c r="U91" s="2" t="str">
        <f t="shared" si="18"/>
        <v/>
      </c>
      <c r="V91" s="2" t="b">
        <f t="shared" si="19"/>
        <v>0</v>
      </c>
      <c r="AA91" s="2" t="str">
        <f t="shared" si="20"/>
        <v/>
      </c>
      <c r="AB91" s="2" t="b">
        <f t="shared" si="21"/>
        <v>0</v>
      </c>
    </row>
    <row r="92" spans="1:28" x14ac:dyDescent="0.3">
      <c r="A92" s="2">
        <v>91</v>
      </c>
      <c r="B92" s="4"/>
      <c r="C92" s="4" t="s">
        <v>41</v>
      </c>
      <c r="D92" s="3"/>
      <c r="E92" s="3"/>
      <c r="F92" s="3"/>
      <c r="G92" s="3"/>
      <c r="H92" s="4"/>
      <c r="I92" s="4"/>
      <c r="J92" s="4"/>
      <c r="K92" s="4"/>
      <c r="L92" s="4"/>
      <c r="M92" s="4"/>
      <c r="N92" s="2" t="str">
        <f t="shared" si="11"/>
        <v/>
      </c>
      <c r="O92" s="2" t="str">
        <f t="shared" si="12"/>
        <v/>
      </c>
      <c r="P92" s="2" t="str">
        <f t="shared" si="13"/>
        <v/>
      </c>
      <c r="Q92" s="2" t="str">
        <f t="shared" si="14"/>
        <v/>
      </c>
      <c r="R92" s="2" t="str">
        <f t="shared" si="15"/>
        <v/>
      </c>
      <c r="S92" s="2" t="str">
        <f t="shared" si="16"/>
        <v/>
      </c>
      <c r="T92" s="2" t="str">
        <f t="shared" si="17"/>
        <v/>
      </c>
      <c r="U92" s="2" t="str">
        <f t="shared" si="18"/>
        <v/>
      </c>
      <c r="V92" s="2" t="b">
        <f t="shared" si="19"/>
        <v>0</v>
      </c>
      <c r="AA92" s="2" t="str">
        <f t="shared" si="20"/>
        <v/>
      </c>
      <c r="AB92" s="2" t="b">
        <f t="shared" si="21"/>
        <v>0</v>
      </c>
    </row>
    <row r="93" spans="1:28" x14ac:dyDescent="0.3">
      <c r="A93" s="2">
        <v>92</v>
      </c>
      <c r="B93" s="4"/>
      <c r="C93" s="4" t="s">
        <v>41</v>
      </c>
      <c r="D93" s="3"/>
      <c r="E93" s="3"/>
      <c r="F93" s="3"/>
      <c r="G93" s="3"/>
      <c r="H93" s="4"/>
      <c r="I93" s="4"/>
      <c r="J93" s="4"/>
      <c r="K93" s="4"/>
      <c r="L93" s="4"/>
      <c r="M93" s="4"/>
      <c r="N93" s="2" t="str">
        <f t="shared" si="11"/>
        <v/>
      </c>
      <c r="O93" s="2" t="str">
        <f t="shared" si="12"/>
        <v/>
      </c>
      <c r="P93" s="2" t="str">
        <f t="shared" si="13"/>
        <v/>
      </c>
      <c r="Q93" s="2" t="str">
        <f t="shared" si="14"/>
        <v/>
      </c>
      <c r="R93" s="2" t="str">
        <f t="shared" si="15"/>
        <v/>
      </c>
      <c r="S93" s="2" t="str">
        <f t="shared" si="16"/>
        <v/>
      </c>
      <c r="T93" s="2" t="str">
        <f t="shared" si="17"/>
        <v/>
      </c>
      <c r="U93" s="2" t="str">
        <f t="shared" si="18"/>
        <v/>
      </c>
      <c r="V93" s="2" t="b">
        <f t="shared" si="19"/>
        <v>0</v>
      </c>
      <c r="AA93" s="2" t="str">
        <f t="shared" si="20"/>
        <v/>
      </c>
      <c r="AB93" s="2" t="b">
        <f t="shared" si="21"/>
        <v>0</v>
      </c>
    </row>
    <row r="94" spans="1:28" x14ac:dyDescent="0.3">
      <c r="A94" s="2">
        <v>93</v>
      </c>
      <c r="B94" s="4"/>
      <c r="C94" s="4" t="s">
        <v>41</v>
      </c>
      <c r="D94" s="3"/>
      <c r="E94" s="3"/>
      <c r="F94" s="3"/>
      <c r="G94" s="3"/>
      <c r="H94" s="4"/>
      <c r="I94" s="4"/>
      <c r="J94" s="4"/>
      <c r="K94" s="4"/>
      <c r="L94" s="4"/>
      <c r="M94" s="4"/>
      <c r="N94" s="2" t="str">
        <f t="shared" si="11"/>
        <v/>
      </c>
      <c r="O94" s="2" t="str">
        <f t="shared" si="12"/>
        <v/>
      </c>
      <c r="P94" s="2" t="str">
        <f t="shared" si="13"/>
        <v/>
      </c>
      <c r="Q94" s="2" t="str">
        <f t="shared" si="14"/>
        <v/>
      </c>
      <c r="R94" s="2" t="str">
        <f t="shared" si="15"/>
        <v/>
      </c>
      <c r="S94" s="2" t="str">
        <f t="shared" si="16"/>
        <v/>
      </c>
      <c r="T94" s="2" t="str">
        <f t="shared" si="17"/>
        <v/>
      </c>
      <c r="U94" s="2" t="str">
        <f t="shared" si="18"/>
        <v/>
      </c>
      <c r="V94" s="2" t="b">
        <f t="shared" si="19"/>
        <v>0</v>
      </c>
      <c r="AA94" s="2" t="str">
        <f t="shared" si="20"/>
        <v/>
      </c>
      <c r="AB94" s="2" t="b">
        <f t="shared" si="21"/>
        <v>0</v>
      </c>
    </row>
    <row r="95" spans="1:28" x14ac:dyDescent="0.3">
      <c r="A95" s="2">
        <v>94</v>
      </c>
      <c r="B95" s="4"/>
      <c r="C95" s="4" t="s">
        <v>41</v>
      </c>
      <c r="D95" s="3"/>
      <c r="E95" s="3"/>
      <c r="F95" s="3"/>
      <c r="G95" s="3"/>
      <c r="H95" s="4"/>
      <c r="I95" s="4"/>
      <c r="J95" s="4"/>
      <c r="K95" s="4"/>
      <c r="L95" s="4"/>
      <c r="M95" s="4"/>
      <c r="N95" s="2" t="str">
        <f t="shared" si="11"/>
        <v/>
      </c>
      <c r="O95" s="2" t="str">
        <f t="shared" si="12"/>
        <v/>
      </c>
      <c r="P95" s="2" t="str">
        <f t="shared" si="13"/>
        <v/>
      </c>
      <c r="Q95" s="2" t="str">
        <f t="shared" si="14"/>
        <v/>
      </c>
      <c r="R95" s="2" t="str">
        <f t="shared" si="15"/>
        <v/>
      </c>
      <c r="S95" s="2" t="str">
        <f t="shared" si="16"/>
        <v/>
      </c>
      <c r="T95" s="2" t="str">
        <f t="shared" si="17"/>
        <v/>
      </c>
      <c r="U95" s="2" t="str">
        <f t="shared" si="18"/>
        <v/>
      </c>
      <c r="V95" s="2" t="b">
        <f t="shared" si="19"/>
        <v>0</v>
      </c>
      <c r="AA95" s="2" t="str">
        <f t="shared" si="20"/>
        <v/>
      </c>
      <c r="AB95" s="2" t="b">
        <f t="shared" si="21"/>
        <v>0</v>
      </c>
    </row>
    <row r="96" spans="1:28" x14ac:dyDescent="0.3">
      <c r="A96" s="2">
        <v>95</v>
      </c>
      <c r="B96" s="4"/>
      <c r="C96" s="4" t="s">
        <v>41</v>
      </c>
      <c r="D96" s="3"/>
      <c r="E96" s="3"/>
      <c r="F96" s="3"/>
      <c r="G96" s="3"/>
      <c r="H96" s="4"/>
      <c r="I96" s="4"/>
      <c r="J96" s="4"/>
      <c r="K96" s="4"/>
      <c r="L96" s="4"/>
      <c r="M96" s="4"/>
      <c r="N96" s="2" t="str">
        <f t="shared" si="11"/>
        <v/>
      </c>
      <c r="O96" s="2" t="str">
        <f t="shared" si="12"/>
        <v/>
      </c>
      <c r="P96" s="2" t="str">
        <f t="shared" si="13"/>
        <v/>
      </c>
      <c r="Q96" s="2" t="str">
        <f t="shared" si="14"/>
        <v/>
      </c>
      <c r="R96" s="2" t="str">
        <f t="shared" si="15"/>
        <v/>
      </c>
      <c r="S96" s="2" t="str">
        <f t="shared" si="16"/>
        <v/>
      </c>
      <c r="T96" s="2" t="str">
        <f t="shared" si="17"/>
        <v/>
      </c>
      <c r="U96" s="2" t="str">
        <f t="shared" si="18"/>
        <v/>
      </c>
      <c r="V96" s="2" t="b">
        <f t="shared" si="19"/>
        <v>0</v>
      </c>
      <c r="AA96" s="2" t="str">
        <f t="shared" si="20"/>
        <v/>
      </c>
      <c r="AB96" s="2" t="b">
        <f t="shared" si="21"/>
        <v>0</v>
      </c>
    </row>
    <row r="97" spans="1:28" x14ac:dyDescent="0.3">
      <c r="A97" s="2">
        <v>96</v>
      </c>
      <c r="B97" s="4"/>
      <c r="C97" s="4" t="s">
        <v>41</v>
      </c>
      <c r="D97" s="3"/>
      <c r="E97" s="3"/>
      <c r="F97" s="3"/>
      <c r="G97" s="3"/>
      <c r="H97" s="4"/>
      <c r="I97" s="4"/>
      <c r="J97" s="4"/>
      <c r="K97" s="4"/>
      <c r="L97" s="4"/>
      <c r="M97" s="4"/>
      <c r="N97" s="2" t="str">
        <f t="shared" si="11"/>
        <v/>
      </c>
      <c r="O97" s="2" t="str">
        <f t="shared" si="12"/>
        <v/>
      </c>
      <c r="P97" s="2" t="str">
        <f t="shared" si="13"/>
        <v/>
      </c>
      <c r="Q97" s="2" t="str">
        <f t="shared" si="14"/>
        <v/>
      </c>
      <c r="R97" s="2" t="str">
        <f t="shared" si="15"/>
        <v/>
      </c>
      <c r="S97" s="2" t="str">
        <f t="shared" si="16"/>
        <v/>
      </c>
      <c r="T97" s="2" t="str">
        <f t="shared" si="17"/>
        <v/>
      </c>
      <c r="U97" s="2" t="str">
        <f t="shared" si="18"/>
        <v/>
      </c>
      <c r="V97" s="2" t="b">
        <f t="shared" si="19"/>
        <v>0</v>
      </c>
      <c r="AA97" s="2" t="str">
        <f t="shared" si="20"/>
        <v/>
      </c>
      <c r="AB97" s="2" t="b">
        <f t="shared" si="21"/>
        <v>0</v>
      </c>
    </row>
    <row r="98" spans="1:28" x14ac:dyDescent="0.3">
      <c r="A98" s="2">
        <v>97</v>
      </c>
      <c r="B98" s="4"/>
      <c r="C98" s="4" t="s">
        <v>41</v>
      </c>
      <c r="D98" s="3"/>
      <c r="E98" s="3"/>
      <c r="F98" s="3"/>
      <c r="G98" s="3"/>
      <c r="H98" s="4"/>
      <c r="I98" s="4"/>
      <c r="J98" s="4"/>
      <c r="K98" s="4"/>
      <c r="L98" s="4"/>
      <c r="M98" s="4"/>
      <c r="N98" s="2" t="str">
        <f t="shared" si="11"/>
        <v/>
      </c>
      <c r="O98" s="2" t="str">
        <f t="shared" si="12"/>
        <v/>
      </c>
      <c r="P98" s="2" t="str">
        <f t="shared" si="13"/>
        <v/>
      </c>
      <c r="Q98" s="2" t="str">
        <f t="shared" si="14"/>
        <v/>
      </c>
      <c r="R98" s="2" t="str">
        <f t="shared" si="15"/>
        <v/>
      </c>
      <c r="S98" s="2" t="str">
        <f t="shared" si="16"/>
        <v/>
      </c>
      <c r="T98" s="2" t="str">
        <f t="shared" si="17"/>
        <v/>
      </c>
      <c r="U98" s="2" t="str">
        <f t="shared" si="18"/>
        <v/>
      </c>
      <c r="V98" s="2" t="b">
        <f t="shared" si="19"/>
        <v>0</v>
      </c>
      <c r="AA98" s="2" t="str">
        <f t="shared" si="20"/>
        <v/>
      </c>
      <c r="AB98" s="2" t="b">
        <f t="shared" si="21"/>
        <v>0</v>
      </c>
    </row>
    <row r="99" spans="1:28" x14ac:dyDescent="0.3">
      <c r="A99" s="2">
        <v>98</v>
      </c>
      <c r="B99" s="4"/>
      <c r="C99" s="4" t="s">
        <v>41</v>
      </c>
      <c r="D99" s="3"/>
      <c r="E99" s="3"/>
      <c r="F99" s="3"/>
      <c r="G99" s="3"/>
      <c r="H99" s="4"/>
      <c r="I99" s="4"/>
      <c r="J99" s="4"/>
      <c r="K99" s="4"/>
      <c r="L99" s="4"/>
      <c r="M99" s="4"/>
      <c r="N99" s="2" t="str">
        <f t="shared" si="11"/>
        <v/>
      </c>
      <c r="O99" s="2" t="str">
        <f t="shared" si="12"/>
        <v/>
      </c>
      <c r="P99" s="2" t="str">
        <f t="shared" si="13"/>
        <v/>
      </c>
      <c r="Q99" s="2" t="str">
        <f t="shared" si="14"/>
        <v/>
      </c>
      <c r="R99" s="2" t="str">
        <f t="shared" si="15"/>
        <v/>
      </c>
      <c r="S99" s="2" t="str">
        <f t="shared" si="16"/>
        <v/>
      </c>
      <c r="T99" s="2" t="str">
        <f t="shared" si="17"/>
        <v/>
      </c>
      <c r="U99" s="2" t="str">
        <f t="shared" si="18"/>
        <v/>
      </c>
      <c r="V99" s="2" t="b">
        <f t="shared" si="19"/>
        <v>0</v>
      </c>
      <c r="AA99" s="2" t="str">
        <f t="shared" si="20"/>
        <v/>
      </c>
      <c r="AB99" s="2" t="b">
        <f t="shared" si="21"/>
        <v>0</v>
      </c>
    </row>
    <row r="100" spans="1:28" x14ac:dyDescent="0.3">
      <c r="A100" s="2">
        <v>99</v>
      </c>
      <c r="B100" s="4"/>
      <c r="C100" s="4" t="s">
        <v>41</v>
      </c>
      <c r="D100" s="3"/>
      <c r="E100" s="3"/>
      <c r="F100" s="3"/>
      <c r="G100" s="3"/>
      <c r="H100" s="4"/>
      <c r="I100" s="4"/>
      <c r="J100" s="4"/>
      <c r="K100" s="4"/>
      <c r="L100" s="4"/>
      <c r="M100" s="4"/>
      <c r="N100" s="2" t="str">
        <f t="shared" si="11"/>
        <v/>
      </c>
      <c r="O100" s="2" t="str">
        <f t="shared" si="12"/>
        <v/>
      </c>
      <c r="P100" s="2" t="str">
        <f t="shared" si="13"/>
        <v/>
      </c>
      <c r="Q100" s="2" t="str">
        <f t="shared" si="14"/>
        <v/>
      </c>
      <c r="R100" s="2" t="str">
        <f t="shared" si="15"/>
        <v/>
      </c>
      <c r="S100" s="2" t="str">
        <f t="shared" si="16"/>
        <v/>
      </c>
      <c r="T100" s="2" t="str">
        <f t="shared" si="17"/>
        <v/>
      </c>
      <c r="U100" s="2" t="str">
        <f t="shared" si="18"/>
        <v/>
      </c>
      <c r="V100" s="2" t="b">
        <f t="shared" si="19"/>
        <v>0</v>
      </c>
      <c r="AA100" s="2" t="str">
        <f t="shared" si="20"/>
        <v/>
      </c>
      <c r="AB100" s="2" t="b">
        <f t="shared" si="21"/>
        <v>0</v>
      </c>
    </row>
    <row r="101" spans="1:28" x14ac:dyDescent="0.3">
      <c r="A101" s="2">
        <v>100</v>
      </c>
      <c r="B101" s="4"/>
      <c r="C101" s="4" t="s">
        <v>41</v>
      </c>
      <c r="D101" s="3"/>
      <c r="E101" s="3"/>
      <c r="F101" s="3"/>
      <c r="G101" s="3"/>
      <c r="H101" s="4"/>
      <c r="I101" s="4"/>
      <c r="J101" s="4"/>
      <c r="K101" s="4"/>
      <c r="L101" s="4"/>
      <c r="M101" s="4"/>
      <c r="N101" s="2" t="str">
        <f t="shared" si="11"/>
        <v/>
      </c>
      <c r="O101" s="2" t="str">
        <f t="shared" si="12"/>
        <v/>
      </c>
      <c r="P101" s="2" t="str">
        <f t="shared" si="13"/>
        <v/>
      </c>
      <c r="Q101" s="2" t="str">
        <f t="shared" si="14"/>
        <v/>
      </c>
      <c r="R101" s="2" t="str">
        <f t="shared" si="15"/>
        <v/>
      </c>
      <c r="S101" s="2" t="str">
        <f t="shared" si="16"/>
        <v/>
      </c>
      <c r="T101" s="2" t="str">
        <f t="shared" si="17"/>
        <v/>
      </c>
      <c r="U101" s="2" t="str">
        <f t="shared" si="18"/>
        <v/>
      </c>
      <c r="V101" s="2" t="b">
        <f t="shared" si="19"/>
        <v>0</v>
      </c>
      <c r="AA101" s="2" t="str">
        <f t="shared" si="20"/>
        <v/>
      </c>
      <c r="AB101" s="2" t="b">
        <f t="shared" si="21"/>
        <v>0</v>
      </c>
    </row>
    <row r="102" spans="1:28" x14ac:dyDescent="0.3">
      <c r="A102" s="2">
        <v>101</v>
      </c>
      <c r="B102" s="4"/>
      <c r="C102" s="4" t="s">
        <v>41</v>
      </c>
      <c r="D102" s="3"/>
      <c r="E102" s="3"/>
      <c r="F102" s="3"/>
      <c r="G102" s="3"/>
      <c r="H102" s="4"/>
      <c r="I102" s="4"/>
      <c r="J102" s="4"/>
      <c r="K102" s="4"/>
      <c r="L102" s="4"/>
      <c r="M102" s="4"/>
      <c r="N102" s="2" t="str">
        <f t="shared" si="11"/>
        <v/>
      </c>
      <c r="O102" s="2" t="str">
        <f t="shared" si="12"/>
        <v/>
      </c>
      <c r="P102" s="2" t="str">
        <f t="shared" si="13"/>
        <v/>
      </c>
      <c r="Q102" s="2" t="str">
        <f t="shared" si="14"/>
        <v/>
      </c>
      <c r="R102" s="2" t="str">
        <f t="shared" si="15"/>
        <v/>
      </c>
      <c r="S102" s="2" t="str">
        <f t="shared" si="16"/>
        <v/>
      </c>
      <c r="T102" s="2" t="str">
        <f t="shared" si="17"/>
        <v/>
      </c>
      <c r="U102" s="2" t="str">
        <f t="shared" si="18"/>
        <v/>
      </c>
      <c r="V102" s="2" t="b">
        <f t="shared" si="19"/>
        <v>0</v>
      </c>
      <c r="AA102" s="2" t="str">
        <f t="shared" si="20"/>
        <v/>
      </c>
      <c r="AB102" s="2" t="b">
        <f t="shared" si="21"/>
        <v>0</v>
      </c>
    </row>
    <row r="103" spans="1:28" x14ac:dyDescent="0.3">
      <c r="A103" s="2">
        <v>102</v>
      </c>
      <c r="B103" s="4"/>
      <c r="C103" s="4" t="s">
        <v>41</v>
      </c>
      <c r="D103" s="3"/>
      <c r="E103" s="3"/>
      <c r="F103" s="3"/>
      <c r="G103" s="3"/>
      <c r="H103" s="4"/>
      <c r="I103" s="4"/>
      <c r="J103" s="4"/>
      <c r="K103" s="4"/>
      <c r="L103" s="4"/>
      <c r="M103" s="4"/>
      <c r="N103" s="2" t="str">
        <f t="shared" si="11"/>
        <v/>
      </c>
      <c r="O103" s="2" t="str">
        <f t="shared" si="12"/>
        <v/>
      </c>
      <c r="P103" s="2" t="str">
        <f t="shared" si="13"/>
        <v/>
      </c>
      <c r="Q103" s="2" t="str">
        <f t="shared" si="14"/>
        <v/>
      </c>
      <c r="R103" s="2" t="str">
        <f t="shared" si="15"/>
        <v/>
      </c>
      <c r="S103" s="2" t="str">
        <f t="shared" si="16"/>
        <v/>
      </c>
      <c r="T103" s="2" t="str">
        <f t="shared" si="17"/>
        <v/>
      </c>
      <c r="U103" s="2" t="str">
        <f t="shared" si="18"/>
        <v/>
      </c>
      <c r="V103" s="2" t="b">
        <f t="shared" si="19"/>
        <v>0</v>
      </c>
      <c r="AA103" s="2" t="str">
        <f t="shared" si="20"/>
        <v/>
      </c>
      <c r="AB103" s="2" t="b">
        <f t="shared" si="21"/>
        <v>0</v>
      </c>
    </row>
    <row r="104" spans="1:28" x14ac:dyDescent="0.3">
      <c r="A104" s="2">
        <v>103</v>
      </c>
      <c r="B104" s="4"/>
      <c r="C104" s="4" t="s">
        <v>41</v>
      </c>
      <c r="D104" s="3"/>
      <c r="E104" s="3"/>
      <c r="F104" s="3"/>
      <c r="G104" s="3"/>
      <c r="H104" s="4"/>
      <c r="I104" s="4"/>
      <c r="J104" s="4"/>
      <c r="K104" s="4"/>
      <c r="L104" s="4"/>
      <c r="M104" s="4"/>
      <c r="N104" s="2" t="str">
        <f t="shared" si="11"/>
        <v/>
      </c>
      <c r="O104" s="2" t="str">
        <f t="shared" si="12"/>
        <v/>
      </c>
      <c r="P104" s="2" t="str">
        <f t="shared" si="13"/>
        <v/>
      </c>
      <c r="Q104" s="2" t="str">
        <f t="shared" si="14"/>
        <v/>
      </c>
      <c r="R104" s="2" t="str">
        <f t="shared" si="15"/>
        <v/>
      </c>
      <c r="S104" s="2" t="str">
        <f t="shared" si="16"/>
        <v/>
      </c>
      <c r="T104" s="2" t="str">
        <f t="shared" si="17"/>
        <v/>
      </c>
      <c r="U104" s="2" t="str">
        <f t="shared" si="18"/>
        <v/>
      </c>
      <c r="V104" s="2" t="b">
        <f t="shared" si="19"/>
        <v>0</v>
      </c>
      <c r="AA104" s="2" t="str">
        <f t="shared" si="20"/>
        <v/>
      </c>
      <c r="AB104" s="2" t="b">
        <f t="shared" si="21"/>
        <v>0</v>
      </c>
    </row>
    <row r="105" spans="1:28" x14ac:dyDescent="0.3">
      <c r="A105" s="2">
        <v>104</v>
      </c>
      <c r="B105" s="4"/>
      <c r="C105" s="4" t="s">
        <v>41</v>
      </c>
      <c r="D105" s="3"/>
      <c r="E105" s="3"/>
      <c r="F105" s="3"/>
      <c r="G105" s="3"/>
      <c r="H105" s="4"/>
      <c r="I105" s="4"/>
      <c r="J105" s="4"/>
      <c r="K105" s="4"/>
      <c r="L105" s="4"/>
      <c r="M105" s="4"/>
      <c r="N105" s="2" t="str">
        <f t="shared" si="11"/>
        <v/>
      </c>
      <c r="O105" s="2" t="str">
        <f t="shared" si="12"/>
        <v/>
      </c>
      <c r="P105" s="2" t="str">
        <f t="shared" si="13"/>
        <v/>
      </c>
      <c r="Q105" s="2" t="str">
        <f t="shared" si="14"/>
        <v/>
      </c>
      <c r="R105" s="2" t="str">
        <f t="shared" si="15"/>
        <v/>
      </c>
      <c r="S105" s="2" t="str">
        <f t="shared" si="16"/>
        <v/>
      </c>
      <c r="T105" s="2" t="str">
        <f t="shared" si="17"/>
        <v/>
      </c>
      <c r="U105" s="2" t="str">
        <f t="shared" si="18"/>
        <v/>
      </c>
      <c r="V105" s="2" t="b">
        <f t="shared" si="19"/>
        <v>0</v>
      </c>
      <c r="AA105" s="2" t="str">
        <f t="shared" si="20"/>
        <v/>
      </c>
      <c r="AB105" s="2" t="b">
        <f t="shared" si="21"/>
        <v>0</v>
      </c>
    </row>
    <row r="106" spans="1:28" x14ac:dyDescent="0.3">
      <c r="A106" s="2">
        <v>105</v>
      </c>
      <c r="B106" s="4"/>
      <c r="C106" s="4" t="s">
        <v>41</v>
      </c>
      <c r="D106" s="3"/>
      <c r="E106" s="3"/>
      <c r="F106" s="3"/>
      <c r="G106" s="3"/>
      <c r="H106" s="4"/>
      <c r="I106" s="4"/>
      <c r="J106" s="4"/>
      <c r="K106" s="4"/>
      <c r="L106" s="4"/>
      <c r="M106" s="4"/>
      <c r="N106" s="2" t="str">
        <f t="shared" si="11"/>
        <v/>
      </c>
      <c r="O106" s="2" t="str">
        <f t="shared" si="12"/>
        <v/>
      </c>
      <c r="P106" s="2" t="str">
        <f t="shared" si="13"/>
        <v/>
      </c>
      <c r="Q106" s="2" t="str">
        <f t="shared" si="14"/>
        <v/>
      </c>
      <c r="R106" s="2" t="str">
        <f t="shared" si="15"/>
        <v/>
      </c>
      <c r="S106" s="2" t="str">
        <f t="shared" si="16"/>
        <v/>
      </c>
      <c r="T106" s="2" t="str">
        <f t="shared" si="17"/>
        <v/>
      </c>
      <c r="U106" s="2" t="str">
        <f t="shared" si="18"/>
        <v/>
      </c>
      <c r="V106" s="2" t="b">
        <f t="shared" si="19"/>
        <v>0</v>
      </c>
      <c r="AA106" s="2" t="str">
        <f t="shared" si="20"/>
        <v/>
      </c>
      <c r="AB106" s="2" t="b">
        <f t="shared" si="21"/>
        <v>0</v>
      </c>
    </row>
    <row r="107" spans="1:28" x14ac:dyDescent="0.3">
      <c r="A107" s="2">
        <v>106</v>
      </c>
      <c r="B107" s="4"/>
      <c r="C107" s="4" t="s">
        <v>41</v>
      </c>
      <c r="D107" s="3"/>
      <c r="E107" s="3"/>
      <c r="F107" s="3"/>
      <c r="G107" s="3"/>
      <c r="H107" s="4"/>
      <c r="I107" s="4"/>
      <c r="J107" s="4"/>
      <c r="K107" s="4"/>
      <c r="L107" s="4"/>
      <c r="M107" s="4"/>
      <c r="N107" s="2" t="str">
        <f t="shared" si="11"/>
        <v/>
      </c>
      <c r="O107" s="2" t="str">
        <f t="shared" si="12"/>
        <v/>
      </c>
      <c r="P107" s="2" t="str">
        <f t="shared" si="13"/>
        <v/>
      </c>
      <c r="Q107" s="2" t="str">
        <f t="shared" si="14"/>
        <v/>
      </c>
      <c r="R107" s="2" t="str">
        <f t="shared" si="15"/>
        <v/>
      </c>
      <c r="S107" s="2" t="str">
        <f t="shared" si="16"/>
        <v/>
      </c>
      <c r="T107" s="2" t="str">
        <f t="shared" si="17"/>
        <v/>
      </c>
      <c r="U107" s="2" t="str">
        <f t="shared" si="18"/>
        <v/>
      </c>
      <c r="V107" s="2" t="b">
        <f t="shared" si="19"/>
        <v>0</v>
      </c>
      <c r="AA107" s="2" t="str">
        <f t="shared" si="20"/>
        <v/>
      </c>
      <c r="AB107" s="2" t="b">
        <f t="shared" si="21"/>
        <v>0</v>
      </c>
    </row>
    <row r="108" spans="1:28" x14ac:dyDescent="0.3">
      <c r="A108" s="2">
        <v>107</v>
      </c>
      <c r="B108" s="4"/>
      <c r="C108" s="4" t="s">
        <v>41</v>
      </c>
      <c r="D108" s="3"/>
      <c r="E108" s="3"/>
      <c r="F108" s="3"/>
      <c r="G108" s="3"/>
      <c r="H108" s="4"/>
      <c r="I108" s="4"/>
      <c r="J108" s="4"/>
      <c r="K108" s="4"/>
      <c r="L108" s="4"/>
      <c r="M108" s="4"/>
      <c r="N108" s="2" t="str">
        <f t="shared" si="11"/>
        <v/>
      </c>
      <c r="O108" s="2" t="str">
        <f t="shared" si="12"/>
        <v/>
      </c>
      <c r="P108" s="2" t="str">
        <f t="shared" si="13"/>
        <v/>
      </c>
      <c r="Q108" s="2" t="str">
        <f t="shared" si="14"/>
        <v/>
      </c>
      <c r="R108" s="2" t="str">
        <f t="shared" si="15"/>
        <v/>
      </c>
      <c r="S108" s="2" t="str">
        <f t="shared" si="16"/>
        <v/>
      </c>
      <c r="T108" s="2" t="str">
        <f t="shared" si="17"/>
        <v/>
      </c>
      <c r="U108" s="2" t="str">
        <f t="shared" si="18"/>
        <v/>
      </c>
      <c r="V108" s="2" t="b">
        <f t="shared" si="19"/>
        <v>0</v>
      </c>
      <c r="AA108" s="2" t="str">
        <f t="shared" si="20"/>
        <v/>
      </c>
      <c r="AB108" s="2" t="b">
        <f t="shared" si="21"/>
        <v>0</v>
      </c>
    </row>
    <row r="109" spans="1:28" x14ac:dyDescent="0.3">
      <c r="A109" s="2">
        <v>108</v>
      </c>
      <c r="B109" s="4"/>
      <c r="C109" s="4" t="s">
        <v>41</v>
      </c>
      <c r="D109" s="3"/>
      <c r="E109" s="3"/>
      <c r="F109" s="3"/>
      <c r="G109" s="3"/>
      <c r="H109" s="4"/>
      <c r="I109" s="4"/>
      <c r="J109" s="4"/>
      <c r="K109" s="4"/>
      <c r="L109" s="4"/>
      <c r="M109" s="4"/>
      <c r="N109" s="2" t="str">
        <f t="shared" si="11"/>
        <v/>
      </c>
      <c r="O109" s="2" t="str">
        <f t="shared" si="12"/>
        <v/>
      </c>
      <c r="P109" s="2" t="str">
        <f t="shared" si="13"/>
        <v/>
      </c>
      <c r="Q109" s="2" t="str">
        <f t="shared" si="14"/>
        <v/>
      </c>
      <c r="R109" s="2" t="str">
        <f t="shared" si="15"/>
        <v/>
      </c>
      <c r="S109" s="2" t="str">
        <f t="shared" si="16"/>
        <v/>
      </c>
      <c r="T109" s="2" t="str">
        <f t="shared" si="17"/>
        <v/>
      </c>
      <c r="U109" s="2" t="str">
        <f t="shared" si="18"/>
        <v/>
      </c>
      <c r="V109" s="2" t="b">
        <f t="shared" si="19"/>
        <v>0</v>
      </c>
      <c r="AA109" s="2" t="str">
        <f t="shared" si="20"/>
        <v/>
      </c>
      <c r="AB109" s="2" t="b">
        <f t="shared" si="21"/>
        <v>0</v>
      </c>
    </row>
    <row r="110" spans="1:28" x14ac:dyDescent="0.3">
      <c r="A110" s="2">
        <v>109</v>
      </c>
      <c r="B110" s="4"/>
      <c r="C110" s="4" t="s">
        <v>41</v>
      </c>
      <c r="D110" s="3"/>
      <c r="E110" s="3"/>
      <c r="F110" s="3"/>
      <c r="G110" s="3"/>
      <c r="H110" s="4"/>
      <c r="I110" s="4"/>
      <c r="J110" s="4"/>
      <c r="K110" s="4"/>
      <c r="L110" s="4"/>
      <c r="M110" s="4"/>
      <c r="N110" s="2" t="str">
        <f t="shared" si="11"/>
        <v/>
      </c>
      <c r="O110" s="2" t="str">
        <f t="shared" si="12"/>
        <v/>
      </c>
      <c r="P110" s="2" t="str">
        <f t="shared" si="13"/>
        <v/>
      </c>
      <c r="Q110" s="2" t="str">
        <f t="shared" si="14"/>
        <v/>
      </c>
      <c r="R110" s="2" t="str">
        <f t="shared" si="15"/>
        <v/>
      </c>
      <c r="S110" s="2" t="str">
        <f t="shared" si="16"/>
        <v/>
      </c>
      <c r="T110" s="2" t="str">
        <f t="shared" si="17"/>
        <v/>
      </c>
      <c r="U110" s="2" t="str">
        <f t="shared" si="18"/>
        <v/>
      </c>
      <c r="V110" s="2" t="b">
        <f t="shared" si="19"/>
        <v>0</v>
      </c>
      <c r="AA110" s="2" t="str">
        <f t="shared" si="20"/>
        <v/>
      </c>
      <c r="AB110" s="2" t="b">
        <f t="shared" si="21"/>
        <v>0</v>
      </c>
    </row>
    <row r="111" spans="1:28" x14ac:dyDescent="0.3">
      <c r="A111" s="2">
        <v>110</v>
      </c>
      <c r="B111" s="4"/>
      <c r="C111" s="4" t="s">
        <v>41</v>
      </c>
      <c r="D111" s="3"/>
      <c r="E111" s="3"/>
      <c r="F111" s="3"/>
      <c r="G111" s="3"/>
      <c r="H111" s="4"/>
      <c r="I111" s="4"/>
      <c r="J111" s="4"/>
      <c r="K111" s="4"/>
      <c r="L111" s="4"/>
      <c r="M111" s="4"/>
      <c r="N111" s="2" t="str">
        <f t="shared" si="11"/>
        <v/>
      </c>
      <c r="O111" s="2" t="str">
        <f t="shared" si="12"/>
        <v/>
      </c>
      <c r="P111" s="2" t="str">
        <f t="shared" si="13"/>
        <v/>
      </c>
      <c r="Q111" s="2" t="str">
        <f t="shared" si="14"/>
        <v/>
      </c>
      <c r="R111" s="2" t="str">
        <f t="shared" si="15"/>
        <v/>
      </c>
      <c r="S111" s="2" t="str">
        <f t="shared" si="16"/>
        <v/>
      </c>
      <c r="T111" s="2" t="str">
        <f t="shared" si="17"/>
        <v/>
      </c>
      <c r="U111" s="2" t="str">
        <f t="shared" si="18"/>
        <v/>
      </c>
      <c r="V111" s="2" t="b">
        <f t="shared" si="19"/>
        <v>0</v>
      </c>
      <c r="AA111" s="2" t="str">
        <f t="shared" si="20"/>
        <v/>
      </c>
      <c r="AB111" s="2" t="b">
        <f t="shared" si="21"/>
        <v>0</v>
      </c>
    </row>
    <row r="112" spans="1:28" x14ac:dyDescent="0.3">
      <c r="A112" s="2">
        <v>111</v>
      </c>
      <c r="B112" s="4"/>
      <c r="C112" s="4" t="s">
        <v>41</v>
      </c>
      <c r="D112" s="3"/>
      <c r="E112" s="3"/>
      <c r="F112" s="3"/>
      <c r="G112" s="3"/>
      <c r="H112" s="4"/>
      <c r="I112" s="4"/>
      <c r="J112" s="4"/>
      <c r="K112" s="4"/>
      <c r="L112" s="4"/>
      <c r="M112" s="4"/>
      <c r="N112" s="2" t="str">
        <f t="shared" si="11"/>
        <v/>
      </c>
      <c r="O112" s="2" t="str">
        <f t="shared" si="12"/>
        <v/>
      </c>
      <c r="P112" s="2" t="str">
        <f t="shared" si="13"/>
        <v/>
      </c>
      <c r="Q112" s="2" t="str">
        <f t="shared" si="14"/>
        <v/>
      </c>
      <c r="R112" s="2" t="str">
        <f t="shared" si="15"/>
        <v/>
      </c>
      <c r="S112" s="2" t="str">
        <f t="shared" si="16"/>
        <v/>
      </c>
      <c r="T112" s="2" t="str">
        <f t="shared" si="17"/>
        <v/>
      </c>
      <c r="U112" s="2" t="str">
        <f t="shared" si="18"/>
        <v/>
      </c>
      <c r="V112" s="2" t="b">
        <f t="shared" si="19"/>
        <v>0</v>
      </c>
      <c r="AA112" s="2" t="str">
        <f t="shared" si="20"/>
        <v/>
      </c>
      <c r="AB112" s="2" t="b">
        <f t="shared" si="21"/>
        <v>0</v>
      </c>
    </row>
    <row r="113" spans="1:28" x14ac:dyDescent="0.3">
      <c r="A113" s="2">
        <v>112</v>
      </c>
      <c r="B113" s="4"/>
      <c r="C113" s="4" t="s">
        <v>41</v>
      </c>
      <c r="D113" s="3"/>
      <c r="E113" s="3"/>
      <c r="F113" s="3"/>
      <c r="G113" s="3"/>
      <c r="H113" s="4"/>
      <c r="I113" s="4"/>
      <c r="J113" s="4"/>
      <c r="K113" s="4"/>
      <c r="L113" s="4"/>
      <c r="M113" s="4"/>
      <c r="N113" s="2" t="str">
        <f t="shared" si="11"/>
        <v/>
      </c>
      <c r="O113" s="2" t="str">
        <f t="shared" si="12"/>
        <v/>
      </c>
      <c r="P113" s="2" t="str">
        <f t="shared" si="13"/>
        <v/>
      </c>
      <c r="Q113" s="2" t="str">
        <f t="shared" si="14"/>
        <v/>
      </c>
      <c r="R113" s="2" t="str">
        <f t="shared" si="15"/>
        <v/>
      </c>
      <c r="S113" s="2" t="str">
        <f t="shared" si="16"/>
        <v/>
      </c>
      <c r="T113" s="2" t="str">
        <f t="shared" si="17"/>
        <v/>
      </c>
      <c r="U113" s="2" t="str">
        <f t="shared" si="18"/>
        <v/>
      </c>
      <c r="V113" s="2" t="b">
        <f t="shared" si="19"/>
        <v>0</v>
      </c>
      <c r="AA113" s="2" t="str">
        <f t="shared" si="20"/>
        <v/>
      </c>
      <c r="AB113" s="2" t="b">
        <f t="shared" si="21"/>
        <v>0</v>
      </c>
    </row>
    <row r="114" spans="1:28" x14ac:dyDescent="0.3">
      <c r="A114" s="2">
        <v>113</v>
      </c>
      <c r="B114" s="4"/>
      <c r="C114" s="4" t="s">
        <v>41</v>
      </c>
      <c r="D114" s="3"/>
      <c r="E114" s="3"/>
      <c r="F114" s="3"/>
      <c r="G114" s="3"/>
      <c r="H114" s="4"/>
      <c r="I114" s="4"/>
      <c r="J114" s="4"/>
      <c r="K114" s="4"/>
      <c r="L114" s="4"/>
      <c r="M114" s="4"/>
      <c r="N114" s="2" t="str">
        <f t="shared" si="11"/>
        <v/>
      </c>
      <c r="O114" s="2" t="str">
        <f t="shared" si="12"/>
        <v/>
      </c>
      <c r="P114" s="2" t="str">
        <f t="shared" si="13"/>
        <v/>
      </c>
      <c r="Q114" s="2" t="str">
        <f t="shared" si="14"/>
        <v/>
      </c>
      <c r="R114" s="2" t="str">
        <f t="shared" si="15"/>
        <v/>
      </c>
      <c r="S114" s="2" t="str">
        <f t="shared" si="16"/>
        <v/>
      </c>
      <c r="T114" s="2" t="str">
        <f t="shared" si="17"/>
        <v/>
      </c>
      <c r="U114" s="2" t="str">
        <f t="shared" si="18"/>
        <v/>
      </c>
      <c r="V114" s="2" t="b">
        <f t="shared" si="19"/>
        <v>0</v>
      </c>
      <c r="AA114" s="2" t="str">
        <f t="shared" si="20"/>
        <v/>
      </c>
      <c r="AB114" s="2" t="b">
        <f t="shared" si="21"/>
        <v>0</v>
      </c>
    </row>
    <row r="115" spans="1:28" x14ac:dyDescent="0.3">
      <c r="A115" s="2">
        <v>114</v>
      </c>
      <c r="B115" s="4"/>
      <c r="C115" s="4" t="s">
        <v>41</v>
      </c>
      <c r="D115" s="3"/>
      <c r="E115" s="3"/>
      <c r="F115" s="3"/>
      <c r="G115" s="3"/>
      <c r="H115" s="4"/>
      <c r="I115" s="4"/>
      <c r="J115" s="4"/>
      <c r="K115" s="4"/>
      <c r="L115" s="4"/>
      <c r="M115" s="4"/>
      <c r="N115" s="2" t="str">
        <f t="shared" si="11"/>
        <v/>
      </c>
      <c r="O115" s="2" t="str">
        <f t="shared" si="12"/>
        <v/>
      </c>
      <c r="P115" s="2" t="str">
        <f t="shared" si="13"/>
        <v/>
      </c>
      <c r="Q115" s="2" t="str">
        <f t="shared" si="14"/>
        <v/>
      </c>
      <c r="R115" s="2" t="str">
        <f t="shared" si="15"/>
        <v/>
      </c>
      <c r="S115" s="2" t="str">
        <f t="shared" si="16"/>
        <v/>
      </c>
      <c r="T115" s="2" t="str">
        <f t="shared" si="17"/>
        <v/>
      </c>
      <c r="U115" s="2" t="str">
        <f t="shared" si="18"/>
        <v/>
      </c>
      <c r="V115" s="2" t="b">
        <f t="shared" si="19"/>
        <v>0</v>
      </c>
      <c r="AA115" s="2" t="str">
        <f t="shared" si="20"/>
        <v/>
      </c>
      <c r="AB115" s="2" t="b">
        <f t="shared" si="21"/>
        <v>0</v>
      </c>
    </row>
    <row r="116" spans="1:28" x14ac:dyDescent="0.3">
      <c r="A116" s="2">
        <v>115</v>
      </c>
      <c r="B116" s="4"/>
      <c r="C116" s="4" t="s">
        <v>41</v>
      </c>
      <c r="D116" s="3"/>
      <c r="E116" s="3"/>
      <c r="F116" s="3"/>
      <c r="G116" s="3"/>
      <c r="H116" s="4"/>
      <c r="I116" s="4"/>
      <c r="J116" s="4"/>
      <c r="K116" s="4"/>
      <c r="L116" s="4"/>
      <c r="M116" s="4"/>
      <c r="N116" s="2" t="str">
        <f t="shared" si="11"/>
        <v/>
      </c>
      <c r="O116" s="2" t="str">
        <f t="shared" si="12"/>
        <v/>
      </c>
      <c r="P116" s="2" t="str">
        <f t="shared" si="13"/>
        <v/>
      </c>
      <c r="Q116" s="2" t="str">
        <f t="shared" si="14"/>
        <v/>
      </c>
      <c r="R116" s="2" t="str">
        <f t="shared" si="15"/>
        <v/>
      </c>
      <c r="S116" s="2" t="str">
        <f t="shared" si="16"/>
        <v/>
      </c>
      <c r="T116" s="2" t="str">
        <f t="shared" si="17"/>
        <v/>
      </c>
      <c r="U116" s="2" t="str">
        <f t="shared" si="18"/>
        <v/>
      </c>
      <c r="V116" s="2" t="b">
        <f t="shared" si="19"/>
        <v>0</v>
      </c>
      <c r="AA116" s="2" t="str">
        <f t="shared" si="20"/>
        <v/>
      </c>
      <c r="AB116" s="2" t="b">
        <f t="shared" si="21"/>
        <v>0</v>
      </c>
    </row>
    <row r="117" spans="1:28" x14ac:dyDescent="0.3">
      <c r="A117" s="2">
        <v>116</v>
      </c>
      <c r="B117" s="4"/>
      <c r="C117" s="4" t="s">
        <v>41</v>
      </c>
      <c r="D117" s="3"/>
      <c r="E117" s="3"/>
      <c r="F117" s="3"/>
      <c r="G117" s="3"/>
      <c r="H117" s="4"/>
      <c r="I117" s="4"/>
      <c r="J117" s="4"/>
      <c r="K117" s="4"/>
      <c r="L117" s="4"/>
      <c r="M117" s="4"/>
      <c r="N117" s="2" t="str">
        <f t="shared" si="11"/>
        <v/>
      </c>
      <c r="O117" s="2" t="str">
        <f t="shared" si="12"/>
        <v/>
      </c>
      <c r="P117" s="2" t="str">
        <f t="shared" si="13"/>
        <v/>
      </c>
      <c r="Q117" s="2" t="str">
        <f t="shared" si="14"/>
        <v/>
      </c>
      <c r="R117" s="2" t="str">
        <f t="shared" si="15"/>
        <v/>
      </c>
      <c r="S117" s="2" t="str">
        <f t="shared" si="16"/>
        <v/>
      </c>
      <c r="T117" s="2" t="str">
        <f t="shared" si="17"/>
        <v/>
      </c>
      <c r="U117" s="2" t="str">
        <f t="shared" si="18"/>
        <v/>
      </c>
      <c r="V117" s="2" t="b">
        <f t="shared" si="19"/>
        <v>0</v>
      </c>
      <c r="AA117" s="2" t="str">
        <f t="shared" si="20"/>
        <v/>
      </c>
      <c r="AB117" s="2" t="b">
        <f t="shared" si="21"/>
        <v>0</v>
      </c>
    </row>
    <row r="118" spans="1:28" x14ac:dyDescent="0.3">
      <c r="A118" s="2">
        <v>117</v>
      </c>
      <c r="B118" s="4"/>
      <c r="C118" s="4" t="s">
        <v>41</v>
      </c>
      <c r="D118" s="3"/>
      <c r="E118" s="3"/>
      <c r="F118" s="3"/>
      <c r="G118" s="3"/>
      <c r="H118" s="4"/>
      <c r="I118" s="4"/>
      <c r="J118" s="4"/>
      <c r="K118" s="4"/>
      <c r="L118" s="4"/>
      <c r="M118" s="4"/>
      <c r="N118" s="2" t="str">
        <f t="shared" si="11"/>
        <v/>
      </c>
      <c r="O118" s="2" t="str">
        <f t="shared" si="12"/>
        <v/>
      </c>
      <c r="P118" s="2" t="str">
        <f t="shared" si="13"/>
        <v/>
      </c>
      <c r="Q118" s="2" t="str">
        <f t="shared" si="14"/>
        <v/>
      </c>
      <c r="R118" s="2" t="str">
        <f t="shared" si="15"/>
        <v/>
      </c>
      <c r="S118" s="2" t="str">
        <f t="shared" si="16"/>
        <v/>
      </c>
      <c r="T118" s="2" t="str">
        <f t="shared" si="17"/>
        <v/>
      </c>
      <c r="U118" s="2" t="str">
        <f t="shared" si="18"/>
        <v/>
      </c>
      <c r="V118" s="2" t="b">
        <f t="shared" si="19"/>
        <v>0</v>
      </c>
      <c r="AA118" s="2" t="str">
        <f t="shared" si="20"/>
        <v/>
      </c>
      <c r="AB118" s="2" t="b">
        <f t="shared" si="21"/>
        <v>0</v>
      </c>
    </row>
    <row r="119" spans="1:28" x14ac:dyDescent="0.3">
      <c r="A119" s="2">
        <v>118</v>
      </c>
      <c r="B119" s="4"/>
      <c r="C119" s="4" t="s">
        <v>41</v>
      </c>
      <c r="D119" s="3"/>
      <c r="E119" s="3"/>
      <c r="F119" s="3"/>
      <c r="G119" s="3"/>
      <c r="H119" s="4"/>
      <c r="I119" s="4"/>
      <c r="J119" s="4"/>
      <c r="K119" s="4"/>
      <c r="L119" s="4"/>
      <c r="M119" s="4"/>
      <c r="N119" s="2" t="str">
        <f t="shared" si="11"/>
        <v/>
      </c>
      <c r="O119" s="2" t="str">
        <f t="shared" si="12"/>
        <v/>
      </c>
      <c r="P119" s="2" t="str">
        <f t="shared" si="13"/>
        <v/>
      </c>
      <c r="Q119" s="2" t="str">
        <f t="shared" si="14"/>
        <v/>
      </c>
      <c r="R119" s="2" t="str">
        <f t="shared" si="15"/>
        <v/>
      </c>
      <c r="S119" s="2" t="str">
        <f t="shared" si="16"/>
        <v/>
      </c>
      <c r="T119" s="2" t="str">
        <f t="shared" si="17"/>
        <v/>
      </c>
      <c r="U119" s="2" t="str">
        <f t="shared" si="18"/>
        <v/>
      </c>
      <c r="V119" s="2" t="b">
        <f t="shared" si="19"/>
        <v>0</v>
      </c>
      <c r="AA119" s="2" t="str">
        <f t="shared" si="20"/>
        <v/>
      </c>
      <c r="AB119" s="2" t="b">
        <f t="shared" si="21"/>
        <v>0</v>
      </c>
    </row>
    <row r="120" spans="1:28" x14ac:dyDescent="0.3">
      <c r="A120" s="2">
        <v>119</v>
      </c>
      <c r="B120" s="4"/>
      <c r="C120" s="4" t="s">
        <v>41</v>
      </c>
      <c r="D120" s="3"/>
      <c r="E120" s="3"/>
      <c r="F120" s="3"/>
      <c r="G120" s="3"/>
      <c r="H120" s="4"/>
      <c r="I120" s="4"/>
      <c r="J120" s="4"/>
      <c r="K120" s="4"/>
      <c r="L120" s="4"/>
      <c r="M120" s="4"/>
      <c r="N120" s="2" t="str">
        <f t="shared" si="11"/>
        <v/>
      </c>
      <c r="O120" s="2" t="str">
        <f t="shared" si="12"/>
        <v/>
      </c>
      <c r="P120" s="2" t="str">
        <f t="shared" si="13"/>
        <v/>
      </c>
      <c r="Q120" s="2" t="str">
        <f t="shared" si="14"/>
        <v/>
      </c>
      <c r="R120" s="2" t="str">
        <f t="shared" si="15"/>
        <v/>
      </c>
      <c r="S120" s="2" t="str">
        <f t="shared" si="16"/>
        <v/>
      </c>
      <c r="T120" s="2" t="str">
        <f t="shared" si="17"/>
        <v/>
      </c>
      <c r="U120" s="2" t="str">
        <f t="shared" si="18"/>
        <v/>
      </c>
      <c r="V120" s="2" t="b">
        <f t="shared" si="19"/>
        <v>0</v>
      </c>
      <c r="AA120" s="2" t="str">
        <f t="shared" si="20"/>
        <v/>
      </c>
      <c r="AB120" s="2" t="b">
        <f t="shared" si="21"/>
        <v>0</v>
      </c>
    </row>
    <row r="121" spans="1:28" x14ac:dyDescent="0.3">
      <c r="A121" s="2">
        <v>120</v>
      </c>
      <c r="B121" s="4"/>
      <c r="C121" s="4" t="s">
        <v>41</v>
      </c>
      <c r="D121" s="3"/>
      <c r="E121" s="3"/>
      <c r="F121" s="3"/>
      <c r="G121" s="3"/>
      <c r="H121" s="4"/>
      <c r="I121" s="4"/>
      <c r="J121" s="4"/>
      <c r="K121" s="4"/>
      <c r="L121" s="4"/>
      <c r="M121" s="4"/>
      <c r="N121" s="2" t="str">
        <f t="shared" si="11"/>
        <v/>
      </c>
      <c r="O121" s="2" t="str">
        <f t="shared" si="12"/>
        <v/>
      </c>
      <c r="P121" s="2" t="str">
        <f t="shared" si="13"/>
        <v/>
      </c>
      <c r="Q121" s="2" t="str">
        <f t="shared" si="14"/>
        <v/>
      </c>
      <c r="R121" s="2" t="str">
        <f t="shared" si="15"/>
        <v/>
      </c>
      <c r="S121" s="2" t="str">
        <f t="shared" si="16"/>
        <v/>
      </c>
      <c r="T121" s="2" t="str">
        <f t="shared" si="17"/>
        <v/>
      </c>
      <c r="U121" s="2" t="str">
        <f t="shared" si="18"/>
        <v/>
      </c>
      <c r="V121" s="2" t="b">
        <f t="shared" si="19"/>
        <v>0</v>
      </c>
      <c r="AA121" s="2" t="str">
        <f t="shared" si="20"/>
        <v/>
      </c>
      <c r="AB121" s="2" t="b">
        <f t="shared" si="21"/>
        <v>0</v>
      </c>
    </row>
    <row r="122" spans="1:28" x14ac:dyDescent="0.3">
      <c r="A122" s="2">
        <v>121</v>
      </c>
      <c r="B122" s="4"/>
      <c r="C122" s="4" t="s">
        <v>41</v>
      </c>
      <c r="D122" s="3"/>
      <c r="E122" s="3"/>
      <c r="F122" s="3"/>
      <c r="G122" s="3"/>
      <c r="H122" s="4"/>
      <c r="I122" s="4"/>
      <c r="J122" s="4"/>
      <c r="K122" s="4"/>
      <c r="L122" s="4"/>
      <c r="M122" s="4"/>
      <c r="N122" s="2" t="str">
        <f t="shared" si="11"/>
        <v/>
      </c>
      <c r="O122" s="2" t="str">
        <f t="shared" si="12"/>
        <v/>
      </c>
      <c r="P122" s="2" t="str">
        <f t="shared" si="13"/>
        <v/>
      </c>
      <c r="Q122" s="2" t="str">
        <f t="shared" si="14"/>
        <v/>
      </c>
      <c r="R122" s="2" t="str">
        <f t="shared" si="15"/>
        <v/>
      </c>
      <c r="S122" s="2" t="str">
        <f t="shared" si="16"/>
        <v/>
      </c>
      <c r="T122" s="2" t="str">
        <f t="shared" si="17"/>
        <v/>
      </c>
      <c r="U122" s="2" t="str">
        <f t="shared" si="18"/>
        <v/>
      </c>
      <c r="V122" s="2" t="b">
        <f t="shared" si="19"/>
        <v>0</v>
      </c>
      <c r="AA122" s="2" t="str">
        <f t="shared" si="20"/>
        <v/>
      </c>
      <c r="AB122" s="2" t="b">
        <f t="shared" si="21"/>
        <v>0</v>
      </c>
    </row>
    <row r="123" spans="1:28" x14ac:dyDescent="0.3">
      <c r="A123" s="2">
        <v>122</v>
      </c>
      <c r="B123" s="4"/>
      <c r="C123" s="4" t="s">
        <v>41</v>
      </c>
      <c r="D123" s="3"/>
      <c r="E123" s="3"/>
      <c r="F123" s="3"/>
      <c r="G123" s="3"/>
      <c r="H123" s="4"/>
      <c r="I123" s="4"/>
      <c r="J123" s="4"/>
      <c r="K123" s="4"/>
      <c r="L123" s="4"/>
      <c r="M123" s="4"/>
      <c r="N123" s="2" t="str">
        <f t="shared" si="11"/>
        <v/>
      </c>
      <c r="O123" s="2" t="str">
        <f t="shared" si="12"/>
        <v/>
      </c>
      <c r="P123" s="2" t="str">
        <f t="shared" si="13"/>
        <v/>
      </c>
      <c r="Q123" s="2" t="str">
        <f t="shared" si="14"/>
        <v/>
      </c>
      <c r="R123" s="2" t="str">
        <f t="shared" si="15"/>
        <v/>
      </c>
      <c r="S123" s="2" t="str">
        <f t="shared" si="16"/>
        <v/>
      </c>
      <c r="T123" s="2" t="str">
        <f t="shared" si="17"/>
        <v/>
      </c>
      <c r="U123" s="2" t="str">
        <f t="shared" si="18"/>
        <v/>
      </c>
      <c r="V123" s="2" t="b">
        <f t="shared" si="19"/>
        <v>0</v>
      </c>
      <c r="AA123" s="2" t="str">
        <f t="shared" si="20"/>
        <v/>
      </c>
      <c r="AB123" s="2" t="b">
        <f t="shared" si="21"/>
        <v>0</v>
      </c>
    </row>
    <row r="124" spans="1:28" x14ac:dyDescent="0.3">
      <c r="A124" s="2">
        <v>123</v>
      </c>
      <c r="B124" s="4"/>
      <c r="C124" s="4" t="s">
        <v>41</v>
      </c>
      <c r="D124" s="3"/>
      <c r="E124" s="3"/>
      <c r="F124" s="3"/>
      <c r="G124" s="3"/>
      <c r="H124" s="4"/>
      <c r="I124" s="4"/>
      <c r="J124" s="4"/>
      <c r="K124" s="4"/>
      <c r="L124" s="4"/>
      <c r="M124" s="4"/>
      <c r="N124" s="2" t="str">
        <f t="shared" si="11"/>
        <v/>
      </c>
      <c r="O124" s="2" t="str">
        <f t="shared" si="12"/>
        <v/>
      </c>
      <c r="P124" s="2" t="str">
        <f t="shared" si="13"/>
        <v/>
      </c>
      <c r="Q124" s="2" t="str">
        <f t="shared" si="14"/>
        <v/>
      </c>
      <c r="R124" s="2" t="str">
        <f t="shared" si="15"/>
        <v/>
      </c>
      <c r="S124" s="2" t="str">
        <f t="shared" si="16"/>
        <v/>
      </c>
      <c r="T124" s="2" t="str">
        <f t="shared" si="17"/>
        <v/>
      </c>
      <c r="U124" s="2" t="str">
        <f t="shared" si="18"/>
        <v/>
      </c>
      <c r="V124" s="2" t="b">
        <f t="shared" si="19"/>
        <v>0</v>
      </c>
      <c r="AA124" s="2" t="str">
        <f t="shared" si="20"/>
        <v/>
      </c>
      <c r="AB124" s="2" t="b">
        <f t="shared" si="21"/>
        <v>0</v>
      </c>
    </row>
    <row r="125" spans="1:28" x14ac:dyDescent="0.3">
      <c r="A125" s="2">
        <v>124</v>
      </c>
      <c r="B125" s="4"/>
      <c r="C125" s="4" t="s">
        <v>41</v>
      </c>
      <c r="D125" s="3"/>
      <c r="E125" s="3"/>
      <c r="F125" s="3"/>
      <c r="G125" s="3"/>
      <c r="H125" s="4"/>
      <c r="I125" s="4"/>
      <c r="J125" s="4"/>
      <c r="K125" s="4"/>
      <c r="L125" s="4"/>
      <c r="M125" s="4"/>
      <c r="N125" s="2" t="str">
        <f t="shared" si="11"/>
        <v/>
      </c>
      <c r="O125" s="2" t="str">
        <f t="shared" si="12"/>
        <v/>
      </c>
      <c r="P125" s="2" t="str">
        <f t="shared" si="13"/>
        <v/>
      </c>
      <c r="Q125" s="2" t="str">
        <f t="shared" si="14"/>
        <v/>
      </c>
      <c r="R125" s="2" t="str">
        <f t="shared" si="15"/>
        <v/>
      </c>
      <c r="S125" s="2" t="str">
        <f t="shared" si="16"/>
        <v/>
      </c>
      <c r="T125" s="2" t="str">
        <f t="shared" si="17"/>
        <v/>
      </c>
      <c r="U125" s="2" t="str">
        <f t="shared" si="18"/>
        <v/>
      </c>
      <c r="V125" s="2" t="b">
        <f t="shared" si="19"/>
        <v>0</v>
      </c>
      <c r="AA125" s="2" t="str">
        <f t="shared" si="20"/>
        <v/>
      </c>
      <c r="AB125" s="2" t="b">
        <f t="shared" si="21"/>
        <v>0</v>
      </c>
    </row>
    <row r="126" spans="1:28" x14ac:dyDescent="0.3">
      <c r="A126" s="2">
        <v>125</v>
      </c>
      <c r="B126" s="4"/>
      <c r="C126" s="4" t="s">
        <v>41</v>
      </c>
      <c r="D126" s="3"/>
      <c r="E126" s="3"/>
      <c r="F126" s="3"/>
      <c r="G126" s="3"/>
      <c r="H126" s="4"/>
      <c r="I126" s="4"/>
      <c r="J126" s="4"/>
      <c r="K126" s="4"/>
      <c r="L126" s="4"/>
      <c r="M126" s="4"/>
      <c r="N126" s="2" t="str">
        <f t="shared" si="11"/>
        <v/>
      </c>
      <c r="O126" s="2" t="str">
        <f t="shared" si="12"/>
        <v/>
      </c>
      <c r="P126" s="2" t="str">
        <f t="shared" si="13"/>
        <v/>
      </c>
      <c r="Q126" s="2" t="str">
        <f t="shared" si="14"/>
        <v/>
      </c>
      <c r="R126" s="2" t="str">
        <f t="shared" si="15"/>
        <v/>
      </c>
      <c r="S126" s="2" t="str">
        <f t="shared" si="16"/>
        <v/>
      </c>
      <c r="T126" s="2" t="str">
        <f t="shared" si="17"/>
        <v/>
      </c>
      <c r="U126" s="2" t="str">
        <f t="shared" si="18"/>
        <v/>
      </c>
      <c r="V126" s="2" t="b">
        <f t="shared" si="19"/>
        <v>0</v>
      </c>
      <c r="AA126" s="2" t="str">
        <f t="shared" si="20"/>
        <v/>
      </c>
      <c r="AB126" s="2" t="b">
        <f t="shared" si="21"/>
        <v>0</v>
      </c>
    </row>
    <row r="127" spans="1:28" x14ac:dyDescent="0.3">
      <c r="A127" s="2">
        <v>126</v>
      </c>
      <c r="B127" s="4"/>
      <c r="C127" s="4" t="s">
        <v>41</v>
      </c>
      <c r="D127" s="3"/>
      <c r="E127" s="3"/>
      <c r="F127" s="3"/>
      <c r="G127" s="3"/>
      <c r="H127" s="4"/>
      <c r="I127" s="4"/>
      <c r="J127" s="4"/>
      <c r="K127" s="4"/>
      <c r="L127" s="4"/>
      <c r="M127" s="4"/>
      <c r="N127" s="2" t="str">
        <f t="shared" si="11"/>
        <v/>
      </c>
      <c r="O127" s="2" t="str">
        <f t="shared" si="12"/>
        <v/>
      </c>
      <c r="P127" s="2" t="str">
        <f t="shared" si="13"/>
        <v/>
      </c>
      <c r="Q127" s="2" t="str">
        <f t="shared" si="14"/>
        <v/>
      </c>
      <c r="R127" s="2" t="str">
        <f t="shared" si="15"/>
        <v/>
      </c>
      <c r="S127" s="2" t="str">
        <f t="shared" si="16"/>
        <v/>
      </c>
      <c r="T127" s="2" t="str">
        <f t="shared" si="17"/>
        <v/>
      </c>
      <c r="U127" s="2" t="str">
        <f t="shared" si="18"/>
        <v/>
      </c>
      <c r="V127" s="2" t="b">
        <f t="shared" si="19"/>
        <v>0</v>
      </c>
      <c r="AA127" s="2" t="str">
        <f t="shared" si="20"/>
        <v/>
      </c>
      <c r="AB127" s="2" t="b">
        <f t="shared" si="21"/>
        <v>0</v>
      </c>
    </row>
    <row r="128" spans="1:28" x14ac:dyDescent="0.3">
      <c r="A128" s="2">
        <v>127</v>
      </c>
      <c r="B128" s="4"/>
      <c r="C128" s="4" t="s">
        <v>41</v>
      </c>
      <c r="D128" s="3"/>
      <c r="E128" s="3"/>
      <c r="F128" s="3"/>
      <c r="G128" s="3"/>
      <c r="H128" s="4"/>
      <c r="I128" s="4"/>
      <c r="J128" s="4"/>
      <c r="K128" s="4"/>
      <c r="L128" s="4"/>
      <c r="M128" s="4"/>
      <c r="N128" s="2" t="str">
        <f t="shared" si="11"/>
        <v/>
      </c>
      <c r="O128" s="2" t="str">
        <f t="shared" si="12"/>
        <v/>
      </c>
      <c r="P128" s="2" t="str">
        <f t="shared" si="13"/>
        <v/>
      </c>
      <c r="Q128" s="2" t="str">
        <f t="shared" si="14"/>
        <v/>
      </c>
      <c r="R128" s="2" t="str">
        <f t="shared" si="15"/>
        <v/>
      </c>
      <c r="S128" s="2" t="str">
        <f t="shared" si="16"/>
        <v/>
      </c>
      <c r="T128" s="2" t="str">
        <f t="shared" si="17"/>
        <v/>
      </c>
      <c r="U128" s="2" t="str">
        <f t="shared" si="18"/>
        <v/>
      </c>
      <c r="V128" s="2" t="b">
        <f t="shared" si="19"/>
        <v>0</v>
      </c>
      <c r="AA128" s="2" t="str">
        <f t="shared" si="20"/>
        <v/>
      </c>
      <c r="AB128" s="2" t="b">
        <f t="shared" si="21"/>
        <v>0</v>
      </c>
    </row>
    <row r="129" spans="1:28" x14ac:dyDescent="0.3">
      <c r="A129" s="2">
        <v>128</v>
      </c>
      <c r="B129" s="4"/>
      <c r="C129" s="4" t="s">
        <v>41</v>
      </c>
      <c r="D129" s="3"/>
      <c r="E129" s="3"/>
      <c r="F129" s="3"/>
      <c r="G129" s="3"/>
      <c r="H129" s="4"/>
      <c r="I129" s="4"/>
      <c r="J129" s="4"/>
      <c r="K129" s="4"/>
      <c r="L129" s="4"/>
      <c r="M129" s="4"/>
      <c r="N129" s="2" t="str">
        <f t="shared" si="11"/>
        <v/>
      </c>
      <c r="O129" s="2" t="str">
        <f t="shared" si="12"/>
        <v/>
      </c>
      <c r="P129" s="2" t="str">
        <f t="shared" si="13"/>
        <v/>
      </c>
      <c r="Q129" s="2" t="str">
        <f t="shared" si="14"/>
        <v/>
      </c>
      <c r="R129" s="2" t="str">
        <f t="shared" si="15"/>
        <v/>
      </c>
      <c r="S129" s="2" t="str">
        <f t="shared" si="16"/>
        <v/>
      </c>
      <c r="T129" s="2" t="str">
        <f t="shared" si="17"/>
        <v/>
      </c>
      <c r="U129" s="2" t="str">
        <f t="shared" si="18"/>
        <v/>
      </c>
      <c r="V129" s="2" t="b">
        <f t="shared" si="19"/>
        <v>0</v>
      </c>
      <c r="AA129" s="2" t="str">
        <f t="shared" si="20"/>
        <v/>
      </c>
      <c r="AB129" s="2" t="b">
        <f t="shared" si="21"/>
        <v>0</v>
      </c>
    </row>
    <row r="130" spans="1:28" x14ac:dyDescent="0.3">
      <c r="A130" s="2">
        <v>129</v>
      </c>
      <c r="B130" s="4"/>
      <c r="C130" s="4" t="s">
        <v>41</v>
      </c>
      <c r="D130" s="3"/>
      <c r="E130" s="3"/>
      <c r="F130" s="3"/>
      <c r="G130" s="3"/>
      <c r="H130" s="4"/>
      <c r="I130" s="4"/>
      <c r="J130" s="4"/>
      <c r="K130" s="4"/>
      <c r="L130" s="4"/>
      <c r="M130" s="4"/>
      <c r="N130" s="2" t="str">
        <f t="shared" ref="N130:N193" si="22">IF(OR(H130="",I130="",J130="",K130=""),"",(IF(H130&gt;I130,1,0)+IF(J130&gt;K130,1,0)+IF(AND(L130&lt;&gt;"",M130&lt;&gt;""),IF(L130&gt;M130,1,0),0)))</f>
        <v/>
      </c>
      <c r="O130" s="2" t="str">
        <f t="shared" ref="O130:O193" si="23">IF(N130="","",(IF(H130&lt;I130,1,0)+IF(J130&lt;K130,1,0)+IF(AND(L130&lt;&gt;"",M130&lt;&gt;""),IF(L130&lt;M130,1,0),0)))</f>
        <v/>
      </c>
      <c r="P130" s="2" t="str">
        <f t="shared" ref="P130:P193" si="24">IF(N130="","",IF(N130&gt;O130,"A","B"))</f>
        <v/>
      </c>
      <c r="Q130" s="2" t="str">
        <f t="shared" ref="Q130:Q193" si="25">IF(N130="","",H130+J130+IF(L130="",0,L130))</f>
        <v/>
      </c>
      <c r="R130" s="2" t="str">
        <f t="shared" ref="R130:R193" si="26">IF(N130="","",I130+K130+IF(M130="",0,M130))</f>
        <v/>
      </c>
      <c r="S130" s="2" t="str">
        <f t="shared" ref="S130:S193" si="27">IF(N130="","",Q130-R130)</f>
        <v/>
      </c>
      <c r="T130" s="2" t="str">
        <f t="shared" ref="T130:T193" si="28">IF(OR(C130&lt;&gt;$X$2,P130=""),"",MIN(MAX(0,S130)*$X$5,$X$6))</f>
        <v/>
      </c>
      <c r="U130" s="2" t="str">
        <f t="shared" ref="U130:U193" si="29">IF(OR(C130&lt;&gt;$X$2,P130=""),"",MIN(MAX(0,-S130)*$X$5,$X$6))</f>
        <v/>
      </c>
      <c r="V130" s="2" t="b">
        <f t="shared" ref="V130:V193" si="30">IF($Z$2="","",OR($D130=$Z$2,$E130=$Z$2,$F130=$Z$2,$G130=$Z$2))</f>
        <v>0</v>
      </c>
      <c r="AA130" s="2" t="str">
        <f t="shared" ref="AA130:AA193" si="31">IF($B130="","",YEAR($B130))</f>
        <v/>
      </c>
      <c r="AB130" s="2" t="b">
        <f t="shared" ref="AB130:AB193" si="32">IF($Z$5="Todas",TRUE,$AA130=$Z$5)</f>
        <v>0</v>
      </c>
    </row>
    <row r="131" spans="1:28" x14ac:dyDescent="0.3">
      <c r="A131" s="2">
        <v>130</v>
      </c>
      <c r="B131" s="4"/>
      <c r="C131" s="4" t="s">
        <v>41</v>
      </c>
      <c r="D131" s="3"/>
      <c r="E131" s="3"/>
      <c r="F131" s="3"/>
      <c r="G131" s="3"/>
      <c r="H131" s="4"/>
      <c r="I131" s="4"/>
      <c r="J131" s="4"/>
      <c r="K131" s="4"/>
      <c r="L131" s="4"/>
      <c r="M131" s="4"/>
      <c r="N131" s="2" t="str">
        <f t="shared" si="22"/>
        <v/>
      </c>
      <c r="O131" s="2" t="str">
        <f t="shared" si="23"/>
        <v/>
      </c>
      <c r="P131" s="2" t="str">
        <f t="shared" si="24"/>
        <v/>
      </c>
      <c r="Q131" s="2" t="str">
        <f t="shared" si="25"/>
        <v/>
      </c>
      <c r="R131" s="2" t="str">
        <f t="shared" si="26"/>
        <v/>
      </c>
      <c r="S131" s="2" t="str">
        <f t="shared" si="27"/>
        <v/>
      </c>
      <c r="T131" s="2" t="str">
        <f t="shared" si="28"/>
        <v/>
      </c>
      <c r="U131" s="2" t="str">
        <f t="shared" si="29"/>
        <v/>
      </c>
      <c r="V131" s="2" t="b">
        <f t="shared" si="30"/>
        <v>0</v>
      </c>
      <c r="AA131" s="2" t="str">
        <f t="shared" si="31"/>
        <v/>
      </c>
      <c r="AB131" s="2" t="b">
        <f t="shared" si="32"/>
        <v>0</v>
      </c>
    </row>
    <row r="132" spans="1:28" x14ac:dyDescent="0.3">
      <c r="A132" s="2">
        <v>131</v>
      </c>
      <c r="B132" s="4"/>
      <c r="C132" s="4" t="s">
        <v>41</v>
      </c>
      <c r="D132" s="3"/>
      <c r="E132" s="3"/>
      <c r="F132" s="3"/>
      <c r="G132" s="3"/>
      <c r="H132" s="4"/>
      <c r="I132" s="4"/>
      <c r="J132" s="4"/>
      <c r="K132" s="4"/>
      <c r="L132" s="4"/>
      <c r="M132" s="4"/>
      <c r="N132" s="2" t="str">
        <f t="shared" si="22"/>
        <v/>
      </c>
      <c r="O132" s="2" t="str">
        <f t="shared" si="23"/>
        <v/>
      </c>
      <c r="P132" s="2" t="str">
        <f t="shared" si="24"/>
        <v/>
      </c>
      <c r="Q132" s="2" t="str">
        <f t="shared" si="25"/>
        <v/>
      </c>
      <c r="R132" s="2" t="str">
        <f t="shared" si="26"/>
        <v/>
      </c>
      <c r="S132" s="2" t="str">
        <f t="shared" si="27"/>
        <v/>
      </c>
      <c r="T132" s="2" t="str">
        <f t="shared" si="28"/>
        <v/>
      </c>
      <c r="U132" s="2" t="str">
        <f t="shared" si="29"/>
        <v/>
      </c>
      <c r="V132" s="2" t="b">
        <f t="shared" si="30"/>
        <v>0</v>
      </c>
      <c r="AA132" s="2" t="str">
        <f t="shared" si="31"/>
        <v/>
      </c>
      <c r="AB132" s="2" t="b">
        <f t="shared" si="32"/>
        <v>0</v>
      </c>
    </row>
    <row r="133" spans="1:28" x14ac:dyDescent="0.3">
      <c r="A133" s="2">
        <v>132</v>
      </c>
      <c r="B133" s="4"/>
      <c r="C133" s="4" t="s">
        <v>41</v>
      </c>
      <c r="D133" s="3"/>
      <c r="E133" s="3"/>
      <c r="F133" s="3"/>
      <c r="G133" s="3"/>
      <c r="H133" s="4"/>
      <c r="I133" s="4"/>
      <c r="J133" s="4"/>
      <c r="K133" s="4"/>
      <c r="L133" s="4"/>
      <c r="M133" s="4"/>
      <c r="N133" s="2" t="str">
        <f t="shared" si="22"/>
        <v/>
      </c>
      <c r="O133" s="2" t="str">
        <f t="shared" si="23"/>
        <v/>
      </c>
      <c r="P133" s="2" t="str">
        <f t="shared" si="24"/>
        <v/>
      </c>
      <c r="Q133" s="2" t="str">
        <f t="shared" si="25"/>
        <v/>
      </c>
      <c r="R133" s="2" t="str">
        <f t="shared" si="26"/>
        <v/>
      </c>
      <c r="S133" s="2" t="str">
        <f t="shared" si="27"/>
        <v/>
      </c>
      <c r="T133" s="2" t="str">
        <f t="shared" si="28"/>
        <v/>
      </c>
      <c r="U133" s="2" t="str">
        <f t="shared" si="29"/>
        <v/>
      </c>
      <c r="V133" s="2" t="b">
        <f t="shared" si="30"/>
        <v>0</v>
      </c>
      <c r="AA133" s="2" t="str">
        <f t="shared" si="31"/>
        <v/>
      </c>
      <c r="AB133" s="2" t="b">
        <f t="shared" si="32"/>
        <v>0</v>
      </c>
    </row>
    <row r="134" spans="1:28" x14ac:dyDescent="0.3">
      <c r="A134" s="2">
        <v>133</v>
      </c>
      <c r="B134" s="4"/>
      <c r="C134" s="4" t="s">
        <v>41</v>
      </c>
      <c r="D134" s="3"/>
      <c r="E134" s="3"/>
      <c r="F134" s="3"/>
      <c r="G134" s="3"/>
      <c r="H134" s="4"/>
      <c r="I134" s="4"/>
      <c r="J134" s="4"/>
      <c r="K134" s="4"/>
      <c r="L134" s="4"/>
      <c r="M134" s="4"/>
      <c r="N134" s="2" t="str">
        <f t="shared" si="22"/>
        <v/>
      </c>
      <c r="O134" s="2" t="str">
        <f t="shared" si="23"/>
        <v/>
      </c>
      <c r="P134" s="2" t="str">
        <f t="shared" si="24"/>
        <v/>
      </c>
      <c r="Q134" s="2" t="str">
        <f t="shared" si="25"/>
        <v/>
      </c>
      <c r="R134" s="2" t="str">
        <f t="shared" si="26"/>
        <v/>
      </c>
      <c r="S134" s="2" t="str">
        <f t="shared" si="27"/>
        <v/>
      </c>
      <c r="T134" s="2" t="str">
        <f t="shared" si="28"/>
        <v/>
      </c>
      <c r="U134" s="2" t="str">
        <f t="shared" si="29"/>
        <v/>
      </c>
      <c r="V134" s="2" t="b">
        <f t="shared" si="30"/>
        <v>0</v>
      </c>
      <c r="AA134" s="2" t="str">
        <f t="shared" si="31"/>
        <v/>
      </c>
      <c r="AB134" s="2" t="b">
        <f t="shared" si="32"/>
        <v>0</v>
      </c>
    </row>
    <row r="135" spans="1:28" x14ac:dyDescent="0.3">
      <c r="A135" s="2">
        <v>134</v>
      </c>
      <c r="B135" s="4"/>
      <c r="C135" s="4" t="s">
        <v>41</v>
      </c>
      <c r="D135" s="3"/>
      <c r="E135" s="3"/>
      <c r="F135" s="3"/>
      <c r="G135" s="3"/>
      <c r="H135" s="4"/>
      <c r="I135" s="4"/>
      <c r="J135" s="4"/>
      <c r="K135" s="4"/>
      <c r="L135" s="4"/>
      <c r="M135" s="4"/>
      <c r="N135" s="2" t="str">
        <f t="shared" si="22"/>
        <v/>
      </c>
      <c r="O135" s="2" t="str">
        <f t="shared" si="23"/>
        <v/>
      </c>
      <c r="P135" s="2" t="str">
        <f t="shared" si="24"/>
        <v/>
      </c>
      <c r="Q135" s="2" t="str">
        <f t="shared" si="25"/>
        <v/>
      </c>
      <c r="R135" s="2" t="str">
        <f t="shared" si="26"/>
        <v/>
      </c>
      <c r="S135" s="2" t="str">
        <f t="shared" si="27"/>
        <v/>
      </c>
      <c r="T135" s="2" t="str">
        <f t="shared" si="28"/>
        <v/>
      </c>
      <c r="U135" s="2" t="str">
        <f t="shared" si="29"/>
        <v/>
      </c>
      <c r="V135" s="2" t="b">
        <f t="shared" si="30"/>
        <v>0</v>
      </c>
      <c r="AA135" s="2" t="str">
        <f t="shared" si="31"/>
        <v/>
      </c>
      <c r="AB135" s="2" t="b">
        <f t="shared" si="32"/>
        <v>0</v>
      </c>
    </row>
    <row r="136" spans="1:28" x14ac:dyDescent="0.3">
      <c r="A136" s="2">
        <v>135</v>
      </c>
      <c r="B136" s="4"/>
      <c r="C136" s="4" t="s">
        <v>41</v>
      </c>
      <c r="D136" s="3"/>
      <c r="E136" s="3"/>
      <c r="F136" s="3"/>
      <c r="G136" s="3"/>
      <c r="H136" s="4"/>
      <c r="I136" s="4"/>
      <c r="J136" s="4"/>
      <c r="K136" s="4"/>
      <c r="L136" s="4"/>
      <c r="M136" s="4"/>
      <c r="N136" s="2" t="str">
        <f t="shared" si="22"/>
        <v/>
      </c>
      <c r="O136" s="2" t="str">
        <f t="shared" si="23"/>
        <v/>
      </c>
      <c r="P136" s="2" t="str">
        <f t="shared" si="24"/>
        <v/>
      </c>
      <c r="Q136" s="2" t="str">
        <f t="shared" si="25"/>
        <v/>
      </c>
      <c r="R136" s="2" t="str">
        <f t="shared" si="26"/>
        <v/>
      </c>
      <c r="S136" s="2" t="str">
        <f t="shared" si="27"/>
        <v/>
      </c>
      <c r="T136" s="2" t="str">
        <f t="shared" si="28"/>
        <v/>
      </c>
      <c r="U136" s="2" t="str">
        <f t="shared" si="29"/>
        <v/>
      </c>
      <c r="V136" s="2" t="b">
        <f t="shared" si="30"/>
        <v>0</v>
      </c>
      <c r="AA136" s="2" t="str">
        <f t="shared" si="31"/>
        <v/>
      </c>
      <c r="AB136" s="2" t="b">
        <f t="shared" si="32"/>
        <v>0</v>
      </c>
    </row>
    <row r="137" spans="1:28" x14ac:dyDescent="0.3">
      <c r="A137" s="2">
        <v>136</v>
      </c>
      <c r="B137" s="4"/>
      <c r="C137" s="4" t="s">
        <v>41</v>
      </c>
      <c r="D137" s="3"/>
      <c r="E137" s="3"/>
      <c r="F137" s="3"/>
      <c r="G137" s="3"/>
      <c r="H137" s="4"/>
      <c r="I137" s="4"/>
      <c r="J137" s="4"/>
      <c r="K137" s="4"/>
      <c r="L137" s="4"/>
      <c r="M137" s="4"/>
      <c r="N137" s="2" t="str">
        <f t="shared" si="22"/>
        <v/>
      </c>
      <c r="O137" s="2" t="str">
        <f t="shared" si="23"/>
        <v/>
      </c>
      <c r="P137" s="2" t="str">
        <f t="shared" si="24"/>
        <v/>
      </c>
      <c r="Q137" s="2" t="str">
        <f t="shared" si="25"/>
        <v/>
      </c>
      <c r="R137" s="2" t="str">
        <f t="shared" si="26"/>
        <v/>
      </c>
      <c r="S137" s="2" t="str">
        <f t="shared" si="27"/>
        <v/>
      </c>
      <c r="T137" s="2" t="str">
        <f t="shared" si="28"/>
        <v/>
      </c>
      <c r="U137" s="2" t="str">
        <f t="shared" si="29"/>
        <v/>
      </c>
      <c r="V137" s="2" t="b">
        <f t="shared" si="30"/>
        <v>0</v>
      </c>
      <c r="AA137" s="2" t="str">
        <f t="shared" si="31"/>
        <v/>
      </c>
      <c r="AB137" s="2" t="b">
        <f t="shared" si="32"/>
        <v>0</v>
      </c>
    </row>
    <row r="138" spans="1:28" x14ac:dyDescent="0.3">
      <c r="A138" s="2">
        <v>137</v>
      </c>
      <c r="B138" s="4"/>
      <c r="C138" s="4" t="s">
        <v>41</v>
      </c>
      <c r="D138" s="3"/>
      <c r="E138" s="3"/>
      <c r="F138" s="3"/>
      <c r="G138" s="3"/>
      <c r="H138" s="4"/>
      <c r="I138" s="4"/>
      <c r="J138" s="4"/>
      <c r="K138" s="4"/>
      <c r="L138" s="4"/>
      <c r="M138" s="4"/>
      <c r="N138" s="2" t="str">
        <f t="shared" si="22"/>
        <v/>
      </c>
      <c r="O138" s="2" t="str">
        <f t="shared" si="23"/>
        <v/>
      </c>
      <c r="P138" s="2" t="str">
        <f t="shared" si="24"/>
        <v/>
      </c>
      <c r="Q138" s="2" t="str">
        <f t="shared" si="25"/>
        <v/>
      </c>
      <c r="R138" s="2" t="str">
        <f t="shared" si="26"/>
        <v/>
      </c>
      <c r="S138" s="2" t="str">
        <f t="shared" si="27"/>
        <v/>
      </c>
      <c r="T138" s="2" t="str">
        <f t="shared" si="28"/>
        <v/>
      </c>
      <c r="U138" s="2" t="str">
        <f t="shared" si="29"/>
        <v/>
      </c>
      <c r="V138" s="2" t="b">
        <f t="shared" si="30"/>
        <v>0</v>
      </c>
      <c r="AA138" s="2" t="str">
        <f t="shared" si="31"/>
        <v/>
      </c>
      <c r="AB138" s="2" t="b">
        <f t="shared" si="32"/>
        <v>0</v>
      </c>
    </row>
    <row r="139" spans="1:28" x14ac:dyDescent="0.3">
      <c r="A139" s="2">
        <v>138</v>
      </c>
      <c r="B139" s="4"/>
      <c r="C139" s="4" t="s">
        <v>41</v>
      </c>
      <c r="D139" s="3"/>
      <c r="E139" s="3"/>
      <c r="F139" s="3"/>
      <c r="G139" s="3"/>
      <c r="H139" s="4"/>
      <c r="I139" s="4"/>
      <c r="J139" s="4"/>
      <c r="K139" s="4"/>
      <c r="L139" s="4"/>
      <c r="M139" s="4"/>
      <c r="N139" s="2" t="str">
        <f t="shared" si="22"/>
        <v/>
      </c>
      <c r="O139" s="2" t="str">
        <f t="shared" si="23"/>
        <v/>
      </c>
      <c r="P139" s="2" t="str">
        <f t="shared" si="24"/>
        <v/>
      </c>
      <c r="Q139" s="2" t="str">
        <f t="shared" si="25"/>
        <v/>
      </c>
      <c r="R139" s="2" t="str">
        <f t="shared" si="26"/>
        <v/>
      </c>
      <c r="S139" s="2" t="str">
        <f t="shared" si="27"/>
        <v/>
      </c>
      <c r="T139" s="2" t="str">
        <f t="shared" si="28"/>
        <v/>
      </c>
      <c r="U139" s="2" t="str">
        <f t="shared" si="29"/>
        <v/>
      </c>
      <c r="V139" s="2" t="b">
        <f t="shared" si="30"/>
        <v>0</v>
      </c>
      <c r="AA139" s="2" t="str">
        <f t="shared" si="31"/>
        <v/>
      </c>
      <c r="AB139" s="2" t="b">
        <f t="shared" si="32"/>
        <v>0</v>
      </c>
    </row>
    <row r="140" spans="1:28" x14ac:dyDescent="0.3">
      <c r="A140" s="2">
        <v>139</v>
      </c>
      <c r="B140" s="4"/>
      <c r="C140" s="4" t="s">
        <v>41</v>
      </c>
      <c r="D140" s="3"/>
      <c r="E140" s="3"/>
      <c r="F140" s="3"/>
      <c r="G140" s="3"/>
      <c r="H140" s="4"/>
      <c r="I140" s="4"/>
      <c r="J140" s="4"/>
      <c r="K140" s="4"/>
      <c r="L140" s="4"/>
      <c r="M140" s="4"/>
      <c r="N140" s="2" t="str">
        <f t="shared" si="22"/>
        <v/>
      </c>
      <c r="O140" s="2" t="str">
        <f t="shared" si="23"/>
        <v/>
      </c>
      <c r="P140" s="2" t="str">
        <f t="shared" si="24"/>
        <v/>
      </c>
      <c r="Q140" s="2" t="str">
        <f t="shared" si="25"/>
        <v/>
      </c>
      <c r="R140" s="2" t="str">
        <f t="shared" si="26"/>
        <v/>
      </c>
      <c r="S140" s="2" t="str">
        <f t="shared" si="27"/>
        <v/>
      </c>
      <c r="T140" s="2" t="str">
        <f t="shared" si="28"/>
        <v/>
      </c>
      <c r="U140" s="2" t="str">
        <f t="shared" si="29"/>
        <v/>
      </c>
      <c r="V140" s="2" t="b">
        <f t="shared" si="30"/>
        <v>0</v>
      </c>
      <c r="AA140" s="2" t="str">
        <f t="shared" si="31"/>
        <v/>
      </c>
      <c r="AB140" s="2" t="b">
        <f t="shared" si="32"/>
        <v>0</v>
      </c>
    </row>
    <row r="141" spans="1:28" x14ac:dyDescent="0.3">
      <c r="A141" s="2">
        <v>140</v>
      </c>
      <c r="B141" s="4"/>
      <c r="C141" s="4" t="s">
        <v>41</v>
      </c>
      <c r="D141" s="3"/>
      <c r="E141" s="3"/>
      <c r="F141" s="3"/>
      <c r="G141" s="3"/>
      <c r="H141" s="4"/>
      <c r="I141" s="4"/>
      <c r="J141" s="4"/>
      <c r="K141" s="4"/>
      <c r="L141" s="4"/>
      <c r="M141" s="4"/>
      <c r="N141" s="2" t="str">
        <f t="shared" si="22"/>
        <v/>
      </c>
      <c r="O141" s="2" t="str">
        <f t="shared" si="23"/>
        <v/>
      </c>
      <c r="P141" s="2" t="str">
        <f t="shared" si="24"/>
        <v/>
      </c>
      <c r="Q141" s="2" t="str">
        <f t="shared" si="25"/>
        <v/>
      </c>
      <c r="R141" s="2" t="str">
        <f t="shared" si="26"/>
        <v/>
      </c>
      <c r="S141" s="2" t="str">
        <f t="shared" si="27"/>
        <v/>
      </c>
      <c r="T141" s="2" t="str">
        <f t="shared" si="28"/>
        <v/>
      </c>
      <c r="U141" s="2" t="str">
        <f t="shared" si="29"/>
        <v/>
      </c>
      <c r="V141" s="2" t="b">
        <f t="shared" si="30"/>
        <v>0</v>
      </c>
      <c r="AA141" s="2" t="str">
        <f t="shared" si="31"/>
        <v/>
      </c>
      <c r="AB141" s="2" t="b">
        <f t="shared" si="32"/>
        <v>0</v>
      </c>
    </row>
    <row r="142" spans="1:28" x14ac:dyDescent="0.3">
      <c r="A142" s="2">
        <v>141</v>
      </c>
      <c r="B142" s="4"/>
      <c r="C142" s="4" t="s">
        <v>41</v>
      </c>
      <c r="D142" s="3"/>
      <c r="E142" s="3"/>
      <c r="F142" s="3"/>
      <c r="G142" s="3"/>
      <c r="H142" s="4"/>
      <c r="I142" s="4"/>
      <c r="J142" s="4"/>
      <c r="K142" s="4"/>
      <c r="L142" s="4"/>
      <c r="M142" s="4"/>
      <c r="N142" s="2" t="str">
        <f t="shared" si="22"/>
        <v/>
      </c>
      <c r="O142" s="2" t="str">
        <f t="shared" si="23"/>
        <v/>
      </c>
      <c r="P142" s="2" t="str">
        <f t="shared" si="24"/>
        <v/>
      </c>
      <c r="Q142" s="2" t="str">
        <f t="shared" si="25"/>
        <v/>
      </c>
      <c r="R142" s="2" t="str">
        <f t="shared" si="26"/>
        <v/>
      </c>
      <c r="S142" s="2" t="str">
        <f t="shared" si="27"/>
        <v/>
      </c>
      <c r="T142" s="2" t="str">
        <f t="shared" si="28"/>
        <v/>
      </c>
      <c r="U142" s="2" t="str">
        <f t="shared" si="29"/>
        <v/>
      </c>
      <c r="V142" s="2" t="b">
        <f t="shared" si="30"/>
        <v>0</v>
      </c>
      <c r="AA142" s="2" t="str">
        <f t="shared" si="31"/>
        <v/>
      </c>
      <c r="AB142" s="2" t="b">
        <f t="shared" si="32"/>
        <v>0</v>
      </c>
    </row>
    <row r="143" spans="1:28" x14ac:dyDescent="0.3">
      <c r="A143" s="2">
        <v>142</v>
      </c>
      <c r="B143" s="4"/>
      <c r="C143" s="4" t="s">
        <v>41</v>
      </c>
      <c r="D143" s="3"/>
      <c r="E143" s="3"/>
      <c r="F143" s="3"/>
      <c r="G143" s="3"/>
      <c r="H143" s="4"/>
      <c r="I143" s="4"/>
      <c r="J143" s="4"/>
      <c r="K143" s="4"/>
      <c r="L143" s="4"/>
      <c r="M143" s="4"/>
      <c r="N143" s="2" t="str">
        <f t="shared" si="22"/>
        <v/>
      </c>
      <c r="O143" s="2" t="str">
        <f t="shared" si="23"/>
        <v/>
      </c>
      <c r="P143" s="2" t="str">
        <f t="shared" si="24"/>
        <v/>
      </c>
      <c r="Q143" s="2" t="str">
        <f t="shared" si="25"/>
        <v/>
      </c>
      <c r="R143" s="2" t="str">
        <f t="shared" si="26"/>
        <v/>
      </c>
      <c r="S143" s="2" t="str">
        <f t="shared" si="27"/>
        <v/>
      </c>
      <c r="T143" s="2" t="str">
        <f t="shared" si="28"/>
        <v/>
      </c>
      <c r="U143" s="2" t="str">
        <f t="shared" si="29"/>
        <v/>
      </c>
      <c r="V143" s="2" t="b">
        <f t="shared" si="30"/>
        <v>0</v>
      </c>
      <c r="AA143" s="2" t="str">
        <f t="shared" si="31"/>
        <v/>
      </c>
      <c r="AB143" s="2" t="b">
        <f t="shared" si="32"/>
        <v>0</v>
      </c>
    </row>
    <row r="144" spans="1:28" x14ac:dyDescent="0.3">
      <c r="A144" s="2">
        <v>143</v>
      </c>
      <c r="B144" s="4"/>
      <c r="C144" s="4" t="s">
        <v>41</v>
      </c>
      <c r="D144" s="3"/>
      <c r="E144" s="3"/>
      <c r="F144" s="3"/>
      <c r="G144" s="3"/>
      <c r="H144" s="4"/>
      <c r="I144" s="4"/>
      <c r="J144" s="4"/>
      <c r="K144" s="4"/>
      <c r="L144" s="4"/>
      <c r="M144" s="4"/>
      <c r="N144" s="2" t="str">
        <f t="shared" si="22"/>
        <v/>
      </c>
      <c r="O144" s="2" t="str">
        <f t="shared" si="23"/>
        <v/>
      </c>
      <c r="P144" s="2" t="str">
        <f t="shared" si="24"/>
        <v/>
      </c>
      <c r="Q144" s="2" t="str">
        <f t="shared" si="25"/>
        <v/>
      </c>
      <c r="R144" s="2" t="str">
        <f t="shared" si="26"/>
        <v/>
      </c>
      <c r="S144" s="2" t="str">
        <f t="shared" si="27"/>
        <v/>
      </c>
      <c r="T144" s="2" t="str">
        <f t="shared" si="28"/>
        <v/>
      </c>
      <c r="U144" s="2" t="str">
        <f t="shared" si="29"/>
        <v/>
      </c>
      <c r="V144" s="2" t="b">
        <f t="shared" si="30"/>
        <v>0</v>
      </c>
      <c r="AA144" s="2" t="str">
        <f t="shared" si="31"/>
        <v/>
      </c>
      <c r="AB144" s="2" t="b">
        <f t="shared" si="32"/>
        <v>0</v>
      </c>
    </row>
    <row r="145" spans="1:28" x14ac:dyDescent="0.3">
      <c r="A145" s="2">
        <v>144</v>
      </c>
      <c r="B145" s="4"/>
      <c r="C145" s="4" t="s">
        <v>41</v>
      </c>
      <c r="D145" s="3"/>
      <c r="E145" s="3"/>
      <c r="F145" s="3"/>
      <c r="G145" s="3"/>
      <c r="H145" s="4"/>
      <c r="I145" s="4"/>
      <c r="J145" s="4"/>
      <c r="K145" s="4"/>
      <c r="L145" s="4"/>
      <c r="M145" s="4"/>
      <c r="N145" s="2" t="str">
        <f t="shared" si="22"/>
        <v/>
      </c>
      <c r="O145" s="2" t="str">
        <f t="shared" si="23"/>
        <v/>
      </c>
      <c r="P145" s="2" t="str">
        <f t="shared" si="24"/>
        <v/>
      </c>
      <c r="Q145" s="2" t="str">
        <f t="shared" si="25"/>
        <v/>
      </c>
      <c r="R145" s="2" t="str">
        <f t="shared" si="26"/>
        <v/>
      </c>
      <c r="S145" s="2" t="str">
        <f t="shared" si="27"/>
        <v/>
      </c>
      <c r="T145" s="2" t="str">
        <f t="shared" si="28"/>
        <v/>
      </c>
      <c r="U145" s="2" t="str">
        <f t="shared" si="29"/>
        <v/>
      </c>
      <c r="V145" s="2" t="b">
        <f t="shared" si="30"/>
        <v>0</v>
      </c>
      <c r="AA145" s="2" t="str">
        <f t="shared" si="31"/>
        <v/>
      </c>
      <c r="AB145" s="2" t="b">
        <f t="shared" si="32"/>
        <v>0</v>
      </c>
    </row>
    <row r="146" spans="1:28" x14ac:dyDescent="0.3">
      <c r="A146" s="2">
        <v>145</v>
      </c>
      <c r="B146" s="4"/>
      <c r="C146" s="4" t="s">
        <v>41</v>
      </c>
      <c r="D146" s="3"/>
      <c r="E146" s="3"/>
      <c r="F146" s="3"/>
      <c r="G146" s="3"/>
      <c r="H146" s="4"/>
      <c r="I146" s="4"/>
      <c r="J146" s="4"/>
      <c r="K146" s="4"/>
      <c r="L146" s="4"/>
      <c r="M146" s="4"/>
      <c r="N146" s="2" t="str">
        <f t="shared" si="22"/>
        <v/>
      </c>
      <c r="O146" s="2" t="str">
        <f t="shared" si="23"/>
        <v/>
      </c>
      <c r="P146" s="2" t="str">
        <f t="shared" si="24"/>
        <v/>
      </c>
      <c r="Q146" s="2" t="str">
        <f t="shared" si="25"/>
        <v/>
      </c>
      <c r="R146" s="2" t="str">
        <f t="shared" si="26"/>
        <v/>
      </c>
      <c r="S146" s="2" t="str">
        <f t="shared" si="27"/>
        <v/>
      </c>
      <c r="T146" s="2" t="str">
        <f t="shared" si="28"/>
        <v/>
      </c>
      <c r="U146" s="2" t="str">
        <f t="shared" si="29"/>
        <v/>
      </c>
      <c r="V146" s="2" t="b">
        <f t="shared" si="30"/>
        <v>0</v>
      </c>
      <c r="AA146" s="2" t="str">
        <f t="shared" si="31"/>
        <v/>
      </c>
      <c r="AB146" s="2" t="b">
        <f t="shared" si="32"/>
        <v>0</v>
      </c>
    </row>
    <row r="147" spans="1:28" x14ac:dyDescent="0.3">
      <c r="A147" s="2">
        <v>146</v>
      </c>
      <c r="B147" s="4"/>
      <c r="C147" s="4" t="s">
        <v>41</v>
      </c>
      <c r="D147" s="3"/>
      <c r="E147" s="3"/>
      <c r="F147" s="3"/>
      <c r="G147" s="3"/>
      <c r="H147" s="4"/>
      <c r="I147" s="4"/>
      <c r="J147" s="4"/>
      <c r="K147" s="4"/>
      <c r="L147" s="4"/>
      <c r="M147" s="4"/>
      <c r="N147" s="2" t="str">
        <f t="shared" si="22"/>
        <v/>
      </c>
      <c r="O147" s="2" t="str">
        <f t="shared" si="23"/>
        <v/>
      </c>
      <c r="P147" s="2" t="str">
        <f t="shared" si="24"/>
        <v/>
      </c>
      <c r="Q147" s="2" t="str">
        <f t="shared" si="25"/>
        <v/>
      </c>
      <c r="R147" s="2" t="str">
        <f t="shared" si="26"/>
        <v/>
      </c>
      <c r="S147" s="2" t="str">
        <f t="shared" si="27"/>
        <v/>
      </c>
      <c r="T147" s="2" t="str">
        <f t="shared" si="28"/>
        <v/>
      </c>
      <c r="U147" s="2" t="str">
        <f t="shared" si="29"/>
        <v/>
      </c>
      <c r="V147" s="2" t="b">
        <f t="shared" si="30"/>
        <v>0</v>
      </c>
      <c r="AA147" s="2" t="str">
        <f t="shared" si="31"/>
        <v/>
      </c>
      <c r="AB147" s="2" t="b">
        <f t="shared" si="32"/>
        <v>0</v>
      </c>
    </row>
    <row r="148" spans="1:28" x14ac:dyDescent="0.3">
      <c r="A148" s="2">
        <v>147</v>
      </c>
      <c r="B148" s="4"/>
      <c r="C148" s="4" t="s">
        <v>41</v>
      </c>
      <c r="D148" s="3"/>
      <c r="E148" s="3"/>
      <c r="F148" s="3"/>
      <c r="G148" s="3"/>
      <c r="H148" s="4"/>
      <c r="I148" s="4"/>
      <c r="J148" s="4"/>
      <c r="K148" s="4"/>
      <c r="L148" s="4"/>
      <c r="M148" s="4"/>
      <c r="N148" s="2" t="str">
        <f t="shared" si="22"/>
        <v/>
      </c>
      <c r="O148" s="2" t="str">
        <f t="shared" si="23"/>
        <v/>
      </c>
      <c r="P148" s="2" t="str">
        <f t="shared" si="24"/>
        <v/>
      </c>
      <c r="Q148" s="2" t="str">
        <f t="shared" si="25"/>
        <v/>
      </c>
      <c r="R148" s="2" t="str">
        <f t="shared" si="26"/>
        <v/>
      </c>
      <c r="S148" s="2" t="str">
        <f t="shared" si="27"/>
        <v/>
      </c>
      <c r="T148" s="2" t="str">
        <f t="shared" si="28"/>
        <v/>
      </c>
      <c r="U148" s="2" t="str">
        <f t="shared" si="29"/>
        <v/>
      </c>
      <c r="V148" s="2" t="b">
        <f t="shared" si="30"/>
        <v>0</v>
      </c>
      <c r="AA148" s="2" t="str">
        <f t="shared" si="31"/>
        <v/>
      </c>
      <c r="AB148" s="2" t="b">
        <f t="shared" si="32"/>
        <v>0</v>
      </c>
    </row>
    <row r="149" spans="1:28" x14ac:dyDescent="0.3">
      <c r="A149" s="2">
        <v>148</v>
      </c>
      <c r="B149" s="4"/>
      <c r="C149" s="4" t="s">
        <v>41</v>
      </c>
      <c r="D149" s="3"/>
      <c r="E149" s="3"/>
      <c r="F149" s="3"/>
      <c r="G149" s="3"/>
      <c r="H149" s="4"/>
      <c r="I149" s="4"/>
      <c r="J149" s="4"/>
      <c r="K149" s="4"/>
      <c r="L149" s="4"/>
      <c r="M149" s="4"/>
      <c r="N149" s="2" t="str">
        <f t="shared" si="22"/>
        <v/>
      </c>
      <c r="O149" s="2" t="str">
        <f t="shared" si="23"/>
        <v/>
      </c>
      <c r="P149" s="2" t="str">
        <f t="shared" si="24"/>
        <v/>
      </c>
      <c r="Q149" s="2" t="str">
        <f t="shared" si="25"/>
        <v/>
      </c>
      <c r="R149" s="2" t="str">
        <f t="shared" si="26"/>
        <v/>
      </c>
      <c r="S149" s="2" t="str">
        <f t="shared" si="27"/>
        <v/>
      </c>
      <c r="T149" s="2" t="str">
        <f t="shared" si="28"/>
        <v/>
      </c>
      <c r="U149" s="2" t="str">
        <f t="shared" si="29"/>
        <v/>
      </c>
      <c r="V149" s="2" t="b">
        <f t="shared" si="30"/>
        <v>0</v>
      </c>
      <c r="AA149" s="2" t="str">
        <f t="shared" si="31"/>
        <v/>
      </c>
      <c r="AB149" s="2" t="b">
        <f t="shared" si="32"/>
        <v>0</v>
      </c>
    </row>
    <row r="150" spans="1:28" x14ac:dyDescent="0.3">
      <c r="A150" s="2">
        <v>149</v>
      </c>
      <c r="B150" s="4"/>
      <c r="C150" s="4" t="s">
        <v>41</v>
      </c>
      <c r="D150" s="3"/>
      <c r="E150" s="3"/>
      <c r="F150" s="3"/>
      <c r="G150" s="3"/>
      <c r="H150" s="4"/>
      <c r="I150" s="4"/>
      <c r="J150" s="4"/>
      <c r="K150" s="4"/>
      <c r="L150" s="4"/>
      <c r="M150" s="4"/>
      <c r="N150" s="2" t="str">
        <f t="shared" si="22"/>
        <v/>
      </c>
      <c r="O150" s="2" t="str">
        <f t="shared" si="23"/>
        <v/>
      </c>
      <c r="P150" s="2" t="str">
        <f t="shared" si="24"/>
        <v/>
      </c>
      <c r="Q150" s="2" t="str">
        <f t="shared" si="25"/>
        <v/>
      </c>
      <c r="R150" s="2" t="str">
        <f t="shared" si="26"/>
        <v/>
      </c>
      <c r="S150" s="2" t="str">
        <f t="shared" si="27"/>
        <v/>
      </c>
      <c r="T150" s="2" t="str">
        <f t="shared" si="28"/>
        <v/>
      </c>
      <c r="U150" s="2" t="str">
        <f t="shared" si="29"/>
        <v/>
      </c>
      <c r="V150" s="2" t="b">
        <f t="shared" si="30"/>
        <v>0</v>
      </c>
      <c r="AA150" s="2" t="str">
        <f t="shared" si="31"/>
        <v/>
      </c>
      <c r="AB150" s="2" t="b">
        <f t="shared" si="32"/>
        <v>0</v>
      </c>
    </row>
    <row r="151" spans="1:28" x14ac:dyDescent="0.3">
      <c r="A151" s="2">
        <v>150</v>
      </c>
      <c r="B151" s="4"/>
      <c r="C151" s="4" t="s">
        <v>41</v>
      </c>
      <c r="D151" s="3"/>
      <c r="E151" s="3"/>
      <c r="F151" s="3"/>
      <c r="G151" s="3"/>
      <c r="H151" s="4"/>
      <c r="I151" s="4"/>
      <c r="J151" s="4"/>
      <c r="K151" s="4"/>
      <c r="L151" s="4"/>
      <c r="M151" s="4"/>
      <c r="N151" s="2" t="str">
        <f t="shared" si="22"/>
        <v/>
      </c>
      <c r="O151" s="2" t="str">
        <f t="shared" si="23"/>
        <v/>
      </c>
      <c r="P151" s="2" t="str">
        <f t="shared" si="24"/>
        <v/>
      </c>
      <c r="Q151" s="2" t="str">
        <f t="shared" si="25"/>
        <v/>
      </c>
      <c r="R151" s="2" t="str">
        <f t="shared" si="26"/>
        <v/>
      </c>
      <c r="S151" s="2" t="str">
        <f t="shared" si="27"/>
        <v/>
      </c>
      <c r="T151" s="2" t="str">
        <f t="shared" si="28"/>
        <v/>
      </c>
      <c r="U151" s="2" t="str">
        <f t="shared" si="29"/>
        <v/>
      </c>
      <c r="V151" s="2" t="b">
        <f t="shared" si="30"/>
        <v>0</v>
      </c>
      <c r="AA151" s="2" t="str">
        <f t="shared" si="31"/>
        <v/>
      </c>
      <c r="AB151" s="2" t="b">
        <f t="shared" si="32"/>
        <v>0</v>
      </c>
    </row>
    <row r="152" spans="1:28" x14ac:dyDescent="0.3">
      <c r="A152" s="2">
        <v>151</v>
      </c>
      <c r="B152" s="4"/>
      <c r="C152" s="4" t="s">
        <v>41</v>
      </c>
      <c r="D152" s="3"/>
      <c r="E152" s="3"/>
      <c r="F152" s="3"/>
      <c r="G152" s="3"/>
      <c r="H152" s="4"/>
      <c r="I152" s="4"/>
      <c r="J152" s="4"/>
      <c r="K152" s="4"/>
      <c r="L152" s="4"/>
      <c r="M152" s="4"/>
      <c r="N152" s="2" t="str">
        <f t="shared" si="22"/>
        <v/>
      </c>
      <c r="O152" s="2" t="str">
        <f t="shared" si="23"/>
        <v/>
      </c>
      <c r="P152" s="2" t="str">
        <f t="shared" si="24"/>
        <v/>
      </c>
      <c r="Q152" s="2" t="str">
        <f t="shared" si="25"/>
        <v/>
      </c>
      <c r="R152" s="2" t="str">
        <f t="shared" si="26"/>
        <v/>
      </c>
      <c r="S152" s="2" t="str">
        <f t="shared" si="27"/>
        <v/>
      </c>
      <c r="T152" s="2" t="str">
        <f t="shared" si="28"/>
        <v/>
      </c>
      <c r="U152" s="2" t="str">
        <f t="shared" si="29"/>
        <v/>
      </c>
      <c r="V152" s="2" t="b">
        <f t="shared" si="30"/>
        <v>0</v>
      </c>
      <c r="AA152" s="2" t="str">
        <f t="shared" si="31"/>
        <v/>
      </c>
      <c r="AB152" s="2" t="b">
        <f t="shared" si="32"/>
        <v>0</v>
      </c>
    </row>
    <row r="153" spans="1:28" x14ac:dyDescent="0.3">
      <c r="A153" s="2">
        <v>152</v>
      </c>
      <c r="B153" s="4"/>
      <c r="C153" s="4" t="s">
        <v>41</v>
      </c>
      <c r="D153" s="3"/>
      <c r="E153" s="3"/>
      <c r="F153" s="3"/>
      <c r="G153" s="3"/>
      <c r="H153" s="4"/>
      <c r="I153" s="4"/>
      <c r="J153" s="4"/>
      <c r="K153" s="4"/>
      <c r="L153" s="4"/>
      <c r="M153" s="4"/>
      <c r="N153" s="2" t="str">
        <f t="shared" si="22"/>
        <v/>
      </c>
      <c r="O153" s="2" t="str">
        <f t="shared" si="23"/>
        <v/>
      </c>
      <c r="P153" s="2" t="str">
        <f t="shared" si="24"/>
        <v/>
      </c>
      <c r="Q153" s="2" t="str">
        <f t="shared" si="25"/>
        <v/>
      </c>
      <c r="R153" s="2" t="str">
        <f t="shared" si="26"/>
        <v/>
      </c>
      <c r="S153" s="2" t="str">
        <f t="shared" si="27"/>
        <v/>
      </c>
      <c r="T153" s="2" t="str">
        <f t="shared" si="28"/>
        <v/>
      </c>
      <c r="U153" s="2" t="str">
        <f t="shared" si="29"/>
        <v/>
      </c>
      <c r="V153" s="2" t="b">
        <f t="shared" si="30"/>
        <v>0</v>
      </c>
      <c r="AA153" s="2" t="str">
        <f t="shared" si="31"/>
        <v/>
      </c>
      <c r="AB153" s="2" t="b">
        <f t="shared" si="32"/>
        <v>0</v>
      </c>
    </row>
    <row r="154" spans="1:28" x14ac:dyDescent="0.3">
      <c r="A154" s="2">
        <v>153</v>
      </c>
      <c r="B154" s="4"/>
      <c r="C154" s="4" t="s">
        <v>41</v>
      </c>
      <c r="D154" s="3"/>
      <c r="E154" s="3"/>
      <c r="F154" s="3"/>
      <c r="G154" s="3"/>
      <c r="H154" s="4"/>
      <c r="I154" s="4"/>
      <c r="J154" s="4"/>
      <c r="K154" s="4"/>
      <c r="L154" s="4"/>
      <c r="M154" s="4"/>
      <c r="N154" s="2" t="str">
        <f t="shared" si="22"/>
        <v/>
      </c>
      <c r="O154" s="2" t="str">
        <f t="shared" si="23"/>
        <v/>
      </c>
      <c r="P154" s="2" t="str">
        <f t="shared" si="24"/>
        <v/>
      </c>
      <c r="Q154" s="2" t="str">
        <f t="shared" si="25"/>
        <v/>
      </c>
      <c r="R154" s="2" t="str">
        <f t="shared" si="26"/>
        <v/>
      </c>
      <c r="S154" s="2" t="str">
        <f t="shared" si="27"/>
        <v/>
      </c>
      <c r="T154" s="2" t="str">
        <f t="shared" si="28"/>
        <v/>
      </c>
      <c r="U154" s="2" t="str">
        <f t="shared" si="29"/>
        <v/>
      </c>
      <c r="V154" s="2" t="b">
        <f t="shared" si="30"/>
        <v>0</v>
      </c>
      <c r="AA154" s="2" t="str">
        <f t="shared" si="31"/>
        <v/>
      </c>
      <c r="AB154" s="2" t="b">
        <f t="shared" si="32"/>
        <v>0</v>
      </c>
    </row>
    <row r="155" spans="1:28" x14ac:dyDescent="0.3">
      <c r="A155" s="2">
        <v>154</v>
      </c>
      <c r="B155" s="4"/>
      <c r="C155" s="4" t="s">
        <v>41</v>
      </c>
      <c r="D155" s="3"/>
      <c r="E155" s="3"/>
      <c r="F155" s="3"/>
      <c r="G155" s="3"/>
      <c r="H155" s="4"/>
      <c r="I155" s="4"/>
      <c r="J155" s="4"/>
      <c r="K155" s="4"/>
      <c r="L155" s="4"/>
      <c r="M155" s="4"/>
      <c r="N155" s="2" t="str">
        <f t="shared" si="22"/>
        <v/>
      </c>
      <c r="O155" s="2" t="str">
        <f t="shared" si="23"/>
        <v/>
      </c>
      <c r="P155" s="2" t="str">
        <f t="shared" si="24"/>
        <v/>
      </c>
      <c r="Q155" s="2" t="str">
        <f t="shared" si="25"/>
        <v/>
      </c>
      <c r="R155" s="2" t="str">
        <f t="shared" si="26"/>
        <v/>
      </c>
      <c r="S155" s="2" t="str">
        <f t="shared" si="27"/>
        <v/>
      </c>
      <c r="T155" s="2" t="str">
        <f t="shared" si="28"/>
        <v/>
      </c>
      <c r="U155" s="2" t="str">
        <f t="shared" si="29"/>
        <v/>
      </c>
      <c r="V155" s="2" t="b">
        <f t="shared" si="30"/>
        <v>0</v>
      </c>
      <c r="AA155" s="2" t="str">
        <f t="shared" si="31"/>
        <v/>
      </c>
      <c r="AB155" s="2" t="b">
        <f t="shared" si="32"/>
        <v>0</v>
      </c>
    </row>
    <row r="156" spans="1:28" x14ac:dyDescent="0.3">
      <c r="A156" s="2">
        <v>155</v>
      </c>
      <c r="B156" s="4"/>
      <c r="C156" s="4" t="s">
        <v>41</v>
      </c>
      <c r="D156" s="3"/>
      <c r="E156" s="3"/>
      <c r="F156" s="3"/>
      <c r="G156" s="3"/>
      <c r="H156" s="4"/>
      <c r="I156" s="4"/>
      <c r="J156" s="4"/>
      <c r="K156" s="4"/>
      <c r="L156" s="4"/>
      <c r="M156" s="4"/>
      <c r="N156" s="2" t="str">
        <f t="shared" si="22"/>
        <v/>
      </c>
      <c r="O156" s="2" t="str">
        <f t="shared" si="23"/>
        <v/>
      </c>
      <c r="P156" s="2" t="str">
        <f t="shared" si="24"/>
        <v/>
      </c>
      <c r="Q156" s="2" t="str">
        <f t="shared" si="25"/>
        <v/>
      </c>
      <c r="R156" s="2" t="str">
        <f t="shared" si="26"/>
        <v/>
      </c>
      <c r="S156" s="2" t="str">
        <f t="shared" si="27"/>
        <v/>
      </c>
      <c r="T156" s="2" t="str">
        <f t="shared" si="28"/>
        <v/>
      </c>
      <c r="U156" s="2" t="str">
        <f t="shared" si="29"/>
        <v/>
      </c>
      <c r="V156" s="2" t="b">
        <f t="shared" si="30"/>
        <v>0</v>
      </c>
      <c r="AA156" s="2" t="str">
        <f t="shared" si="31"/>
        <v/>
      </c>
      <c r="AB156" s="2" t="b">
        <f t="shared" si="32"/>
        <v>0</v>
      </c>
    </row>
    <row r="157" spans="1:28" x14ac:dyDescent="0.3">
      <c r="A157" s="2">
        <v>156</v>
      </c>
      <c r="B157" s="4"/>
      <c r="C157" s="4" t="s">
        <v>41</v>
      </c>
      <c r="D157" s="3"/>
      <c r="E157" s="3"/>
      <c r="F157" s="3"/>
      <c r="G157" s="3"/>
      <c r="H157" s="4"/>
      <c r="I157" s="4"/>
      <c r="J157" s="4"/>
      <c r="K157" s="4"/>
      <c r="L157" s="4"/>
      <c r="M157" s="4"/>
      <c r="N157" s="2" t="str">
        <f t="shared" si="22"/>
        <v/>
      </c>
      <c r="O157" s="2" t="str">
        <f t="shared" si="23"/>
        <v/>
      </c>
      <c r="P157" s="2" t="str">
        <f t="shared" si="24"/>
        <v/>
      </c>
      <c r="Q157" s="2" t="str">
        <f t="shared" si="25"/>
        <v/>
      </c>
      <c r="R157" s="2" t="str">
        <f t="shared" si="26"/>
        <v/>
      </c>
      <c r="S157" s="2" t="str">
        <f t="shared" si="27"/>
        <v/>
      </c>
      <c r="T157" s="2" t="str">
        <f t="shared" si="28"/>
        <v/>
      </c>
      <c r="U157" s="2" t="str">
        <f t="shared" si="29"/>
        <v/>
      </c>
      <c r="V157" s="2" t="b">
        <f t="shared" si="30"/>
        <v>0</v>
      </c>
      <c r="AA157" s="2" t="str">
        <f t="shared" si="31"/>
        <v/>
      </c>
      <c r="AB157" s="2" t="b">
        <f t="shared" si="32"/>
        <v>0</v>
      </c>
    </row>
    <row r="158" spans="1:28" x14ac:dyDescent="0.3">
      <c r="A158" s="2">
        <v>157</v>
      </c>
      <c r="B158" s="4"/>
      <c r="C158" s="4" t="s">
        <v>41</v>
      </c>
      <c r="D158" s="3"/>
      <c r="E158" s="3"/>
      <c r="F158" s="3"/>
      <c r="G158" s="3"/>
      <c r="H158" s="4"/>
      <c r="I158" s="4"/>
      <c r="J158" s="4"/>
      <c r="K158" s="4"/>
      <c r="L158" s="4"/>
      <c r="M158" s="4"/>
      <c r="N158" s="2" t="str">
        <f t="shared" si="22"/>
        <v/>
      </c>
      <c r="O158" s="2" t="str">
        <f t="shared" si="23"/>
        <v/>
      </c>
      <c r="P158" s="2" t="str">
        <f t="shared" si="24"/>
        <v/>
      </c>
      <c r="Q158" s="2" t="str">
        <f t="shared" si="25"/>
        <v/>
      </c>
      <c r="R158" s="2" t="str">
        <f t="shared" si="26"/>
        <v/>
      </c>
      <c r="S158" s="2" t="str">
        <f t="shared" si="27"/>
        <v/>
      </c>
      <c r="T158" s="2" t="str">
        <f t="shared" si="28"/>
        <v/>
      </c>
      <c r="U158" s="2" t="str">
        <f t="shared" si="29"/>
        <v/>
      </c>
      <c r="V158" s="2" t="b">
        <f t="shared" si="30"/>
        <v>0</v>
      </c>
      <c r="AA158" s="2" t="str">
        <f t="shared" si="31"/>
        <v/>
      </c>
      <c r="AB158" s="2" t="b">
        <f t="shared" si="32"/>
        <v>0</v>
      </c>
    </row>
    <row r="159" spans="1:28" x14ac:dyDescent="0.3">
      <c r="A159" s="2">
        <v>158</v>
      </c>
      <c r="B159" s="4"/>
      <c r="C159" s="4" t="s">
        <v>41</v>
      </c>
      <c r="D159" s="3"/>
      <c r="E159" s="3"/>
      <c r="F159" s="3"/>
      <c r="G159" s="3"/>
      <c r="H159" s="4"/>
      <c r="I159" s="4"/>
      <c r="J159" s="4"/>
      <c r="K159" s="4"/>
      <c r="L159" s="4"/>
      <c r="M159" s="4"/>
      <c r="N159" s="2" t="str">
        <f t="shared" si="22"/>
        <v/>
      </c>
      <c r="O159" s="2" t="str">
        <f t="shared" si="23"/>
        <v/>
      </c>
      <c r="P159" s="2" t="str">
        <f t="shared" si="24"/>
        <v/>
      </c>
      <c r="Q159" s="2" t="str">
        <f t="shared" si="25"/>
        <v/>
      </c>
      <c r="R159" s="2" t="str">
        <f t="shared" si="26"/>
        <v/>
      </c>
      <c r="S159" s="2" t="str">
        <f t="shared" si="27"/>
        <v/>
      </c>
      <c r="T159" s="2" t="str">
        <f t="shared" si="28"/>
        <v/>
      </c>
      <c r="U159" s="2" t="str">
        <f t="shared" si="29"/>
        <v/>
      </c>
      <c r="V159" s="2" t="b">
        <f t="shared" si="30"/>
        <v>0</v>
      </c>
      <c r="AA159" s="2" t="str">
        <f t="shared" si="31"/>
        <v/>
      </c>
      <c r="AB159" s="2" t="b">
        <f t="shared" si="32"/>
        <v>0</v>
      </c>
    </row>
    <row r="160" spans="1:28" x14ac:dyDescent="0.3">
      <c r="A160" s="2">
        <v>159</v>
      </c>
      <c r="B160" s="4"/>
      <c r="C160" s="4" t="s">
        <v>41</v>
      </c>
      <c r="D160" s="3"/>
      <c r="E160" s="3"/>
      <c r="F160" s="3"/>
      <c r="G160" s="3"/>
      <c r="H160" s="4"/>
      <c r="I160" s="4"/>
      <c r="J160" s="4"/>
      <c r="K160" s="4"/>
      <c r="L160" s="4"/>
      <c r="M160" s="4"/>
      <c r="N160" s="2" t="str">
        <f t="shared" si="22"/>
        <v/>
      </c>
      <c r="O160" s="2" t="str">
        <f t="shared" si="23"/>
        <v/>
      </c>
      <c r="P160" s="2" t="str">
        <f t="shared" si="24"/>
        <v/>
      </c>
      <c r="Q160" s="2" t="str">
        <f t="shared" si="25"/>
        <v/>
      </c>
      <c r="R160" s="2" t="str">
        <f t="shared" si="26"/>
        <v/>
      </c>
      <c r="S160" s="2" t="str">
        <f t="shared" si="27"/>
        <v/>
      </c>
      <c r="T160" s="2" t="str">
        <f t="shared" si="28"/>
        <v/>
      </c>
      <c r="U160" s="2" t="str">
        <f t="shared" si="29"/>
        <v/>
      </c>
      <c r="V160" s="2" t="b">
        <f t="shared" si="30"/>
        <v>0</v>
      </c>
      <c r="AA160" s="2" t="str">
        <f t="shared" si="31"/>
        <v/>
      </c>
      <c r="AB160" s="2" t="b">
        <f t="shared" si="32"/>
        <v>0</v>
      </c>
    </row>
    <row r="161" spans="1:28" x14ac:dyDescent="0.3">
      <c r="A161" s="2">
        <v>160</v>
      </c>
      <c r="B161" s="4"/>
      <c r="C161" s="4" t="s">
        <v>41</v>
      </c>
      <c r="D161" s="3"/>
      <c r="E161" s="3"/>
      <c r="F161" s="3"/>
      <c r="G161" s="3"/>
      <c r="H161" s="4"/>
      <c r="I161" s="4"/>
      <c r="J161" s="4"/>
      <c r="K161" s="4"/>
      <c r="L161" s="4"/>
      <c r="M161" s="4"/>
      <c r="N161" s="2" t="str">
        <f t="shared" si="22"/>
        <v/>
      </c>
      <c r="O161" s="2" t="str">
        <f t="shared" si="23"/>
        <v/>
      </c>
      <c r="P161" s="2" t="str">
        <f t="shared" si="24"/>
        <v/>
      </c>
      <c r="Q161" s="2" t="str">
        <f t="shared" si="25"/>
        <v/>
      </c>
      <c r="R161" s="2" t="str">
        <f t="shared" si="26"/>
        <v/>
      </c>
      <c r="S161" s="2" t="str">
        <f t="shared" si="27"/>
        <v/>
      </c>
      <c r="T161" s="2" t="str">
        <f t="shared" si="28"/>
        <v/>
      </c>
      <c r="U161" s="2" t="str">
        <f t="shared" si="29"/>
        <v/>
      </c>
      <c r="V161" s="2" t="b">
        <f t="shared" si="30"/>
        <v>0</v>
      </c>
      <c r="AA161" s="2" t="str">
        <f t="shared" si="31"/>
        <v/>
      </c>
      <c r="AB161" s="2" t="b">
        <f t="shared" si="32"/>
        <v>0</v>
      </c>
    </row>
    <row r="162" spans="1:28" x14ac:dyDescent="0.3">
      <c r="A162" s="2">
        <v>161</v>
      </c>
      <c r="B162" s="4"/>
      <c r="C162" s="4" t="s">
        <v>41</v>
      </c>
      <c r="D162" s="3"/>
      <c r="E162" s="3"/>
      <c r="F162" s="3"/>
      <c r="G162" s="3"/>
      <c r="H162" s="4"/>
      <c r="I162" s="4"/>
      <c r="J162" s="4"/>
      <c r="K162" s="4"/>
      <c r="L162" s="4"/>
      <c r="M162" s="4"/>
      <c r="N162" s="2" t="str">
        <f t="shared" si="22"/>
        <v/>
      </c>
      <c r="O162" s="2" t="str">
        <f t="shared" si="23"/>
        <v/>
      </c>
      <c r="P162" s="2" t="str">
        <f t="shared" si="24"/>
        <v/>
      </c>
      <c r="Q162" s="2" t="str">
        <f t="shared" si="25"/>
        <v/>
      </c>
      <c r="R162" s="2" t="str">
        <f t="shared" si="26"/>
        <v/>
      </c>
      <c r="S162" s="2" t="str">
        <f t="shared" si="27"/>
        <v/>
      </c>
      <c r="T162" s="2" t="str">
        <f t="shared" si="28"/>
        <v/>
      </c>
      <c r="U162" s="2" t="str">
        <f t="shared" si="29"/>
        <v/>
      </c>
      <c r="V162" s="2" t="b">
        <f t="shared" si="30"/>
        <v>0</v>
      </c>
      <c r="AA162" s="2" t="str">
        <f t="shared" si="31"/>
        <v/>
      </c>
      <c r="AB162" s="2" t="b">
        <f t="shared" si="32"/>
        <v>0</v>
      </c>
    </row>
    <row r="163" spans="1:28" x14ac:dyDescent="0.3">
      <c r="A163" s="2">
        <v>162</v>
      </c>
      <c r="B163" s="4"/>
      <c r="C163" s="4" t="s">
        <v>41</v>
      </c>
      <c r="D163" s="3"/>
      <c r="E163" s="3"/>
      <c r="F163" s="3"/>
      <c r="G163" s="3"/>
      <c r="H163" s="4"/>
      <c r="I163" s="4"/>
      <c r="J163" s="4"/>
      <c r="K163" s="4"/>
      <c r="L163" s="4"/>
      <c r="M163" s="4"/>
      <c r="N163" s="2" t="str">
        <f t="shared" si="22"/>
        <v/>
      </c>
      <c r="O163" s="2" t="str">
        <f t="shared" si="23"/>
        <v/>
      </c>
      <c r="P163" s="2" t="str">
        <f t="shared" si="24"/>
        <v/>
      </c>
      <c r="Q163" s="2" t="str">
        <f t="shared" si="25"/>
        <v/>
      </c>
      <c r="R163" s="2" t="str">
        <f t="shared" si="26"/>
        <v/>
      </c>
      <c r="S163" s="2" t="str">
        <f t="shared" si="27"/>
        <v/>
      </c>
      <c r="T163" s="2" t="str">
        <f t="shared" si="28"/>
        <v/>
      </c>
      <c r="U163" s="2" t="str">
        <f t="shared" si="29"/>
        <v/>
      </c>
      <c r="V163" s="2" t="b">
        <f t="shared" si="30"/>
        <v>0</v>
      </c>
      <c r="AA163" s="2" t="str">
        <f t="shared" si="31"/>
        <v/>
      </c>
      <c r="AB163" s="2" t="b">
        <f t="shared" si="32"/>
        <v>0</v>
      </c>
    </row>
    <row r="164" spans="1:28" x14ac:dyDescent="0.3">
      <c r="A164" s="2">
        <v>163</v>
      </c>
      <c r="B164" s="4"/>
      <c r="C164" s="4" t="s">
        <v>41</v>
      </c>
      <c r="D164" s="3"/>
      <c r="E164" s="3"/>
      <c r="F164" s="3"/>
      <c r="G164" s="3"/>
      <c r="H164" s="4"/>
      <c r="I164" s="4"/>
      <c r="J164" s="4"/>
      <c r="K164" s="4"/>
      <c r="L164" s="4"/>
      <c r="M164" s="4"/>
      <c r="N164" s="2" t="str">
        <f t="shared" si="22"/>
        <v/>
      </c>
      <c r="O164" s="2" t="str">
        <f t="shared" si="23"/>
        <v/>
      </c>
      <c r="P164" s="2" t="str">
        <f t="shared" si="24"/>
        <v/>
      </c>
      <c r="Q164" s="2" t="str">
        <f t="shared" si="25"/>
        <v/>
      </c>
      <c r="R164" s="2" t="str">
        <f t="shared" si="26"/>
        <v/>
      </c>
      <c r="S164" s="2" t="str">
        <f t="shared" si="27"/>
        <v/>
      </c>
      <c r="T164" s="2" t="str">
        <f t="shared" si="28"/>
        <v/>
      </c>
      <c r="U164" s="2" t="str">
        <f t="shared" si="29"/>
        <v/>
      </c>
      <c r="V164" s="2" t="b">
        <f t="shared" si="30"/>
        <v>0</v>
      </c>
      <c r="AA164" s="2" t="str">
        <f t="shared" si="31"/>
        <v/>
      </c>
      <c r="AB164" s="2" t="b">
        <f t="shared" si="32"/>
        <v>0</v>
      </c>
    </row>
    <row r="165" spans="1:28" x14ac:dyDescent="0.3">
      <c r="A165" s="2">
        <v>164</v>
      </c>
      <c r="B165" s="4"/>
      <c r="C165" s="4" t="s">
        <v>41</v>
      </c>
      <c r="D165" s="3"/>
      <c r="E165" s="3"/>
      <c r="F165" s="3"/>
      <c r="G165" s="3"/>
      <c r="H165" s="4"/>
      <c r="I165" s="4"/>
      <c r="J165" s="4"/>
      <c r="K165" s="4"/>
      <c r="L165" s="4"/>
      <c r="M165" s="4"/>
      <c r="N165" s="2" t="str">
        <f t="shared" si="22"/>
        <v/>
      </c>
      <c r="O165" s="2" t="str">
        <f t="shared" si="23"/>
        <v/>
      </c>
      <c r="P165" s="2" t="str">
        <f t="shared" si="24"/>
        <v/>
      </c>
      <c r="Q165" s="2" t="str">
        <f t="shared" si="25"/>
        <v/>
      </c>
      <c r="R165" s="2" t="str">
        <f t="shared" si="26"/>
        <v/>
      </c>
      <c r="S165" s="2" t="str">
        <f t="shared" si="27"/>
        <v/>
      </c>
      <c r="T165" s="2" t="str">
        <f t="shared" si="28"/>
        <v/>
      </c>
      <c r="U165" s="2" t="str">
        <f t="shared" si="29"/>
        <v/>
      </c>
      <c r="V165" s="2" t="b">
        <f t="shared" si="30"/>
        <v>0</v>
      </c>
      <c r="AA165" s="2" t="str">
        <f t="shared" si="31"/>
        <v/>
      </c>
      <c r="AB165" s="2" t="b">
        <f t="shared" si="32"/>
        <v>0</v>
      </c>
    </row>
    <row r="166" spans="1:28" x14ac:dyDescent="0.3">
      <c r="A166" s="2">
        <v>165</v>
      </c>
      <c r="B166" s="4"/>
      <c r="C166" s="4" t="s">
        <v>41</v>
      </c>
      <c r="D166" s="3"/>
      <c r="E166" s="3"/>
      <c r="F166" s="3"/>
      <c r="G166" s="3"/>
      <c r="H166" s="4"/>
      <c r="I166" s="4"/>
      <c r="J166" s="4"/>
      <c r="K166" s="4"/>
      <c r="L166" s="4"/>
      <c r="M166" s="4"/>
      <c r="N166" s="2" t="str">
        <f t="shared" si="22"/>
        <v/>
      </c>
      <c r="O166" s="2" t="str">
        <f t="shared" si="23"/>
        <v/>
      </c>
      <c r="P166" s="2" t="str">
        <f t="shared" si="24"/>
        <v/>
      </c>
      <c r="Q166" s="2" t="str">
        <f t="shared" si="25"/>
        <v/>
      </c>
      <c r="R166" s="2" t="str">
        <f t="shared" si="26"/>
        <v/>
      </c>
      <c r="S166" s="2" t="str">
        <f t="shared" si="27"/>
        <v/>
      </c>
      <c r="T166" s="2" t="str">
        <f t="shared" si="28"/>
        <v/>
      </c>
      <c r="U166" s="2" t="str">
        <f t="shared" si="29"/>
        <v/>
      </c>
      <c r="V166" s="2" t="b">
        <f t="shared" si="30"/>
        <v>0</v>
      </c>
      <c r="AA166" s="2" t="str">
        <f t="shared" si="31"/>
        <v/>
      </c>
      <c r="AB166" s="2" t="b">
        <f t="shared" si="32"/>
        <v>0</v>
      </c>
    </row>
    <row r="167" spans="1:28" x14ac:dyDescent="0.3">
      <c r="A167" s="2">
        <v>166</v>
      </c>
      <c r="B167" s="4"/>
      <c r="C167" s="4" t="s">
        <v>41</v>
      </c>
      <c r="D167" s="3"/>
      <c r="E167" s="3"/>
      <c r="F167" s="3"/>
      <c r="G167" s="3"/>
      <c r="H167" s="4"/>
      <c r="I167" s="4"/>
      <c r="J167" s="4"/>
      <c r="K167" s="4"/>
      <c r="L167" s="4"/>
      <c r="M167" s="4"/>
      <c r="N167" s="2" t="str">
        <f t="shared" si="22"/>
        <v/>
      </c>
      <c r="O167" s="2" t="str">
        <f t="shared" si="23"/>
        <v/>
      </c>
      <c r="P167" s="2" t="str">
        <f t="shared" si="24"/>
        <v/>
      </c>
      <c r="Q167" s="2" t="str">
        <f t="shared" si="25"/>
        <v/>
      </c>
      <c r="R167" s="2" t="str">
        <f t="shared" si="26"/>
        <v/>
      </c>
      <c r="S167" s="2" t="str">
        <f t="shared" si="27"/>
        <v/>
      </c>
      <c r="T167" s="2" t="str">
        <f t="shared" si="28"/>
        <v/>
      </c>
      <c r="U167" s="2" t="str">
        <f t="shared" si="29"/>
        <v/>
      </c>
      <c r="V167" s="2" t="b">
        <f t="shared" si="30"/>
        <v>0</v>
      </c>
      <c r="AA167" s="2" t="str">
        <f t="shared" si="31"/>
        <v/>
      </c>
      <c r="AB167" s="2" t="b">
        <f t="shared" si="32"/>
        <v>0</v>
      </c>
    </row>
    <row r="168" spans="1:28" x14ac:dyDescent="0.3">
      <c r="A168" s="2">
        <v>167</v>
      </c>
      <c r="B168" s="4"/>
      <c r="C168" s="4" t="s">
        <v>41</v>
      </c>
      <c r="D168" s="3"/>
      <c r="E168" s="3"/>
      <c r="F168" s="3"/>
      <c r="G168" s="3"/>
      <c r="H168" s="4"/>
      <c r="I168" s="4"/>
      <c r="J168" s="4"/>
      <c r="K168" s="4"/>
      <c r="L168" s="4"/>
      <c r="M168" s="4"/>
      <c r="N168" s="2" t="str">
        <f t="shared" si="22"/>
        <v/>
      </c>
      <c r="O168" s="2" t="str">
        <f t="shared" si="23"/>
        <v/>
      </c>
      <c r="P168" s="2" t="str">
        <f t="shared" si="24"/>
        <v/>
      </c>
      <c r="Q168" s="2" t="str">
        <f t="shared" si="25"/>
        <v/>
      </c>
      <c r="R168" s="2" t="str">
        <f t="shared" si="26"/>
        <v/>
      </c>
      <c r="S168" s="2" t="str">
        <f t="shared" si="27"/>
        <v/>
      </c>
      <c r="T168" s="2" t="str">
        <f t="shared" si="28"/>
        <v/>
      </c>
      <c r="U168" s="2" t="str">
        <f t="shared" si="29"/>
        <v/>
      </c>
      <c r="V168" s="2" t="b">
        <f t="shared" si="30"/>
        <v>0</v>
      </c>
      <c r="AA168" s="2" t="str">
        <f t="shared" si="31"/>
        <v/>
      </c>
      <c r="AB168" s="2" t="b">
        <f t="shared" si="32"/>
        <v>0</v>
      </c>
    </row>
    <row r="169" spans="1:28" x14ac:dyDescent="0.3">
      <c r="A169" s="2">
        <v>168</v>
      </c>
      <c r="B169" s="4"/>
      <c r="C169" s="4" t="s">
        <v>41</v>
      </c>
      <c r="D169" s="3"/>
      <c r="E169" s="3"/>
      <c r="F169" s="3"/>
      <c r="G169" s="3"/>
      <c r="H169" s="4"/>
      <c r="I169" s="4"/>
      <c r="J169" s="4"/>
      <c r="K169" s="4"/>
      <c r="L169" s="4"/>
      <c r="M169" s="4"/>
      <c r="N169" s="2" t="str">
        <f t="shared" si="22"/>
        <v/>
      </c>
      <c r="O169" s="2" t="str">
        <f t="shared" si="23"/>
        <v/>
      </c>
      <c r="P169" s="2" t="str">
        <f t="shared" si="24"/>
        <v/>
      </c>
      <c r="Q169" s="2" t="str">
        <f t="shared" si="25"/>
        <v/>
      </c>
      <c r="R169" s="2" t="str">
        <f t="shared" si="26"/>
        <v/>
      </c>
      <c r="S169" s="2" t="str">
        <f t="shared" si="27"/>
        <v/>
      </c>
      <c r="T169" s="2" t="str">
        <f t="shared" si="28"/>
        <v/>
      </c>
      <c r="U169" s="2" t="str">
        <f t="shared" si="29"/>
        <v/>
      </c>
      <c r="V169" s="2" t="b">
        <f t="shared" si="30"/>
        <v>0</v>
      </c>
      <c r="AA169" s="2" t="str">
        <f t="shared" si="31"/>
        <v/>
      </c>
      <c r="AB169" s="2" t="b">
        <f t="shared" si="32"/>
        <v>0</v>
      </c>
    </row>
    <row r="170" spans="1:28" x14ac:dyDescent="0.3">
      <c r="A170" s="2">
        <v>169</v>
      </c>
      <c r="B170" s="4"/>
      <c r="C170" s="4" t="s">
        <v>41</v>
      </c>
      <c r="D170" s="3"/>
      <c r="E170" s="3"/>
      <c r="F170" s="3"/>
      <c r="G170" s="3"/>
      <c r="H170" s="4"/>
      <c r="I170" s="4"/>
      <c r="J170" s="4"/>
      <c r="K170" s="4"/>
      <c r="L170" s="4"/>
      <c r="M170" s="4"/>
      <c r="N170" s="2" t="str">
        <f t="shared" si="22"/>
        <v/>
      </c>
      <c r="O170" s="2" t="str">
        <f t="shared" si="23"/>
        <v/>
      </c>
      <c r="P170" s="2" t="str">
        <f t="shared" si="24"/>
        <v/>
      </c>
      <c r="Q170" s="2" t="str">
        <f t="shared" si="25"/>
        <v/>
      </c>
      <c r="R170" s="2" t="str">
        <f t="shared" si="26"/>
        <v/>
      </c>
      <c r="S170" s="2" t="str">
        <f t="shared" si="27"/>
        <v/>
      </c>
      <c r="T170" s="2" t="str">
        <f t="shared" si="28"/>
        <v/>
      </c>
      <c r="U170" s="2" t="str">
        <f t="shared" si="29"/>
        <v/>
      </c>
      <c r="V170" s="2" t="b">
        <f t="shared" si="30"/>
        <v>0</v>
      </c>
      <c r="AA170" s="2" t="str">
        <f t="shared" si="31"/>
        <v/>
      </c>
      <c r="AB170" s="2" t="b">
        <f t="shared" si="32"/>
        <v>0</v>
      </c>
    </row>
    <row r="171" spans="1:28" x14ac:dyDescent="0.3">
      <c r="A171" s="2">
        <v>170</v>
      </c>
      <c r="B171" s="4"/>
      <c r="C171" s="4" t="s">
        <v>41</v>
      </c>
      <c r="D171" s="3"/>
      <c r="E171" s="3"/>
      <c r="F171" s="3"/>
      <c r="G171" s="3"/>
      <c r="H171" s="4"/>
      <c r="I171" s="4"/>
      <c r="J171" s="4"/>
      <c r="K171" s="4"/>
      <c r="L171" s="4"/>
      <c r="M171" s="4"/>
      <c r="N171" s="2" t="str">
        <f t="shared" si="22"/>
        <v/>
      </c>
      <c r="O171" s="2" t="str">
        <f t="shared" si="23"/>
        <v/>
      </c>
      <c r="P171" s="2" t="str">
        <f t="shared" si="24"/>
        <v/>
      </c>
      <c r="Q171" s="2" t="str">
        <f t="shared" si="25"/>
        <v/>
      </c>
      <c r="R171" s="2" t="str">
        <f t="shared" si="26"/>
        <v/>
      </c>
      <c r="S171" s="2" t="str">
        <f t="shared" si="27"/>
        <v/>
      </c>
      <c r="T171" s="2" t="str">
        <f t="shared" si="28"/>
        <v/>
      </c>
      <c r="U171" s="2" t="str">
        <f t="shared" si="29"/>
        <v/>
      </c>
      <c r="V171" s="2" t="b">
        <f t="shared" si="30"/>
        <v>0</v>
      </c>
      <c r="AA171" s="2" t="str">
        <f t="shared" si="31"/>
        <v/>
      </c>
      <c r="AB171" s="2" t="b">
        <f t="shared" si="32"/>
        <v>0</v>
      </c>
    </row>
    <row r="172" spans="1:28" x14ac:dyDescent="0.3">
      <c r="A172" s="2">
        <v>171</v>
      </c>
      <c r="B172" s="4"/>
      <c r="C172" s="4" t="s">
        <v>41</v>
      </c>
      <c r="D172" s="3"/>
      <c r="E172" s="3"/>
      <c r="F172" s="3"/>
      <c r="G172" s="3"/>
      <c r="H172" s="4"/>
      <c r="I172" s="4"/>
      <c r="J172" s="4"/>
      <c r="K172" s="4"/>
      <c r="L172" s="4"/>
      <c r="M172" s="4"/>
      <c r="N172" s="2" t="str">
        <f t="shared" si="22"/>
        <v/>
      </c>
      <c r="O172" s="2" t="str">
        <f t="shared" si="23"/>
        <v/>
      </c>
      <c r="P172" s="2" t="str">
        <f t="shared" si="24"/>
        <v/>
      </c>
      <c r="Q172" s="2" t="str">
        <f t="shared" si="25"/>
        <v/>
      </c>
      <c r="R172" s="2" t="str">
        <f t="shared" si="26"/>
        <v/>
      </c>
      <c r="S172" s="2" t="str">
        <f t="shared" si="27"/>
        <v/>
      </c>
      <c r="T172" s="2" t="str">
        <f t="shared" si="28"/>
        <v/>
      </c>
      <c r="U172" s="2" t="str">
        <f t="shared" si="29"/>
        <v/>
      </c>
      <c r="V172" s="2" t="b">
        <f t="shared" si="30"/>
        <v>0</v>
      </c>
      <c r="AA172" s="2" t="str">
        <f t="shared" si="31"/>
        <v/>
      </c>
      <c r="AB172" s="2" t="b">
        <f t="shared" si="32"/>
        <v>0</v>
      </c>
    </row>
    <row r="173" spans="1:28" x14ac:dyDescent="0.3">
      <c r="A173" s="2">
        <v>172</v>
      </c>
      <c r="B173" s="4"/>
      <c r="C173" s="4" t="s">
        <v>41</v>
      </c>
      <c r="D173" s="3"/>
      <c r="E173" s="3"/>
      <c r="F173" s="3"/>
      <c r="G173" s="3"/>
      <c r="H173" s="4"/>
      <c r="I173" s="4"/>
      <c r="J173" s="4"/>
      <c r="K173" s="4"/>
      <c r="L173" s="4"/>
      <c r="M173" s="4"/>
      <c r="N173" s="2" t="str">
        <f t="shared" si="22"/>
        <v/>
      </c>
      <c r="O173" s="2" t="str">
        <f t="shared" si="23"/>
        <v/>
      </c>
      <c r="P173" s="2" t="str">
        <f t="shared" si="24"/>
        <v/>
      </c>
      <c r="Q173" s="2" t="str">
        <f t="shared" si="25"/>
        <v/>
      </c>
      <c r="R173" s="2" t="str">
        <f t="shared" si="26"/>
        <v/>
      </c>
      <c r="S173" s="2" t="str">
        <f t="shared" si="27"/>
        <v/>
      </c>
      <c r="T173" s="2" t="str">
        <f t="shared" si="28"/>
        <v/>
      </c>
      <c r="U173" s="2" t="str">
        <f t="shared" si="29"/>
        <v/>
      </c>
      <c r="V173" s="2" t="b">
        <f t="shared" si="30"/>
        <v>0</v>
      </c>
      <c r="AA173" s="2" t="str">
        <f t="shared" si="31"/>
        <v/>
      </c>
      <c r="AB173" s="2" t="b">
        <f t="shared" si="32"/>
        <v>0</v>
      </c>
    </row>
    <row r="174" spans="1:28" x14ac:dyDescent="0.3">
      <c r="A174" s="2">
        <v>173</v>
      </c>
      <c r="B174" s="4"/>
      <c r="C174" s="4" t="s">
        <v>41</v>
      </c>
      <c r="D174" s="3"/>
      <c r="E174" s="3"/>
      <c r="F174" s="3"/>
      <c r="G174" s="3"/>
      <c r="H174" s="4"/>
      <c r="I174" s="4"/>
      <c r="J174" s="4"/>
      <c r="K174" s="4"/>
      <c r="L174" s="4"/>
      <c r="M174" s="4"/>
      <c r="N174" s="2" t="str">
        <f t="shared" si="22"/>
        <v/>
      </c>
      <c r="O174" s="2" t="str">
        <f t="shared" si="23"/>
        <v/>
      </c>
      <c r="P174" s="2" t="str">
        <f t="shared" si="24"/>
        <v/>
      </c>
      <c r="Q174" s="2" t="str">
        <f t="shared" si="25"/>
        <v/>
      </c>
      <c r="R174" s="2" t="str">
        <f t="shared" si="26"/>
        <v/>
      </c>
      <c r="S174" s="2" t="str">
        <f t="shared" si="27"/>
        <v/>
      </c>
      <c r="T174" s="2" t="str">
        <f t="shared" si="28"/>
        <v/>
      </c>
      <c r="U174" s="2" t="str">
        <f t="shared" si="29"/>
        <v/>
      </c>
      <c r="V174" s="2" t="b">
        <f t="shared" si="30"/>
        <v>0</v>
      </c>
      <c r="AA174" s="2" t="str">
        <f t="shared" si="31"/>
        <v/>
      </c>
      <c r="AB174" s="2" t="b">
        <f t="shared" si="32"/>
        <v>0</v>
      </c>
    </row>
    <row r="175" spans="1:28" x14ac:dyDescent="0.3">
      <c r="A175" s="2">
        <v>174</v>
      </c>
      <c r="B175" s="4"/>
      <c r="C175" s="4" t="s">
        <v>41</v>
      </c>
      <c r="D175" s="3"/>
      <c r="E175" s="3"/>
      <c r="F175" s="3"/>
      <c r="G175" s="3"/>
      <c r="H175" s="4"/>
      <c r="I175" s="4"/>
      <c r="J175" s="4"/>
      <c r="K175" s="4"/>
      <c r="L175" s="4"/>
      <c r="M175" s="4"/>
      <c r="N175" s="2" t="str">
        <f t="shared" si="22"/>
        <v/>
      </c>
      <c r="O175" s="2" t="str">
        <f t="shared" si="23"/>
        <v/>
      </c>
      <c r="P175" s="2" t="str">
        <f t="shared" si="24"/>
        <v/>
      </c>
      <c r="Q175" s="2" t="str">
        <f t="shared" si="25"/>
        <v/>
      </c>
      <c r="R175" s="2" t="str">
        <f t="shared" si="26"/>
        <v/>
      </c>
      <c r="S175" s="2" t="str">
        <f t="shared" si="27"/>
        <v/>
      </c>
      <c r="T175" s="2" t="str">
        <f t="shared" si="28"/>
        <v/>
      </c>
      <c r="U175" s="2" t="str">
        <f t="shared" si="29"/>
        <v/>
      </c>
      <c r="V175" s="2" t="b">
        <f t="shared" si="30"/>
        <v>0</v>
      </c>
      <c r="AA175" s="2" t="str">
        <f t="shared" si="31"/>
        <v/>
      </c>
      <c r="AB175" s="2" t="b">
        <f t="shared" si="32"/>
        <v>0</v>
      </c>
    </row>
    <row r="176" spans="1:28" x14ac:dyDescent="0.3">
      <c r="A176" s="2">
        <v>175</v>
      </c>
      <c r="B176" s="4"/>
      <c r="C176" s="4" t="s">
        <v>41</v>
      </c>
      <c r="D176" s="3"/>
      <c r="E176" s="3"/>
      <c r="F176" s="3"/>
      <c r="G176" s="3"/>
      <c r="H176" s="4"/>
      <c r="I176" s="4"/>
      <c r="J176" s="4"/>
      <c r="K176" s="4"/>
      <c r="L176" s="4"/>
      <c r="M176" s="4"/>
      <c r="N176" s="2" t="str">
        <f t="shared" si="22"/>
        <v/>
      </c>
      <c r="O176" s="2" t="str">
        <f t="shared" si="23"/>
        <v/>
      </c>
      <c r="P176" s="2" t="str">
        <f t="shared" si="24"/>
        <v/>
      </c>
      <c r="Q176" s="2" t="str">
        <f t="shared" si="25"/>
        <v/>
      </c>
      <c r="R176" s="2" t="str">
        <f t="shared" si="26"/>
        <v/>
      </c>
      <c r="S176" s="2" t="str">
        <f t="shared" si="27"/>
        <v/>
      </c>
      <c r="T176" s="2" t="str">
        <f t="shared" si="28"/>
        <v/>
      </c>
      <c r="U176" s="2" t="str">
        <f t="shared" si="29"/>
        <v/>
      </c>
      <c r="V176" s="2" t="b">
        <f t="shared" si="30"/>
        <v>0</v>
      </c>
      <c r="AA176" s="2" t="str">
        <f t="shared" si="31"/>
        <v/>
      </c>
      <c r="AB176" s="2" t="b">
        <f t="shared" si="32"/>
        <v>0</v>
      </c>
    </row>
    <row r="177" spans="1:28" x14ac:dyDescent="0.3">
      <c r="A177" s="2">
        <v>176</v>
      </c>
      <c r="B177" s="4"/>
      <c r="C177" s="4" t="s">
        <v>41</v>
      </c>
      <c r="D177" s="3"/>
      <c r="E177" s="3"/>
      <c r="F177" s="3"/>
      <c r="G177" s="3"/>
      <c r="H177" s="4"/>
      <c r="I177" s="4"/>
      <c r="J177" s="4"/>
      <c r="K177" s="4"/>
      <c r="L177" s="4"/>
      <c r="M177" s="4"/>
      <c r="N177" s="2" t="str">
        <f t="shared" si="22"/>
        <v/>
      </c>
      <c r="O177" s="2" t="str">
        <f t="shared" si="23"/>
        <v/>
      </c>
      <c r="P177" s="2" t="str">
        <f t="shared" si="24"/>
        <v/>
      </c>
      <c r="Q177" s="2" t="str">
        <f t="shared" si="25"/>
        <v/>
      </c>
      <c r="R177" s="2" t="str">
        <f t="shared" si="26"/>
        <v/>
      </c>
      <c r="S177" s="2" t="str">
        <f t="shared" si="27"/>
        <v/>
      </c>
      <c r="T177" s="2" t="str">
        <f t="shared" si="28"/>
        <v/>
      </c>
      <c r="U177" s="2" t="str">
        <f t="shared" si="29"/>
        <v/>
      </c>
      <c r="V177" s="2" t="b">
        <f t="shared" si="30"/>
        <v>0</v>
      </c>
      <c r="AA177" s="2" t="str">
        <f t="shared" si="31"/>
        <v/>
      </c>
      <c r="AB177" s="2" t="b">
        <f t="shared" si="32"/>
        <v>0</v>
      </c>
    </row>
    <row r="178" spans="1:28" x14ac:dyDescent="0.3">
      <c r="A178" s="2">
        <v>177</v>
      </c>
      <c r="B178" s="4"/>
      <c r="C178" s="4" t="s">
        <v>41</v>
      </c>
      <c r="D178" s="3"/>
      <c r="E178" s="3"/>
      <c r="F178" s="3"/>
      <c r="G178" s="3"/>
      <c r="H178" s="4"/>
      <c r="I178" s="4"/>
      <c r="J178" s="4"/>
      <c r="K178" s="4"/>
      <c r="L178" s="4"/>
      <c r="M178" s="4"/>
      <c r="N178" s="2" t="str">
        <f t="shared" si="22"/>
        <v/>
      </c>
      <c r="O178" s="2" t="str">
        <f t="shared" si="23"/>
        <v/>
      </c>
      <c r="P178" s="2" t="str">
        <f t="shared" si="24"/>
        <v/>
      </c>
      <c r="Q178" s="2" t="str">
        <f t="shared" si="25"/>
        <v/>
      </c>
      <c r="R178" s="2" t="str">
        <f t="shared" si="26"/>
        <v/>
      </c>
      <c r="S178" s="2" t="str">
        <f t="shared" si="27"/>
        <v/>
      </c>
      <c r="T178" s="2" t="str">
        <f t="shared" si="28"/>
        <v/>
      </c>
      <c r="U178" s="2" t="str">
        <f t="shared" si="29"/>
        <v/>
      </c>
      <c r="V178" s="2" t="b">
        <f t="shared" si="30"/>
        <v>0</v>
      </c>
      <c r="AA178" s="2" t="str">
        <f t="shared" si="31"/>
        <v/>
      </c>
      <c r="AB178" s="2" t="b">
        <f t="shared" si="32"/>
        <v>0</v>
      </c>
    </row>
    <row r="179" spans="1:28" x14ac:dyDescent="0.3">
      <c r="A179" s="2">
        <v>178</v>
      </c>
      <c r="B179" s="4"/>
      <c r="C179" s="4" t="s">
        <v>41</v>
      </c>
      <c r="D179" s="3"/>
      <c r="E179" s="3"/>
      <c r="F179" s="3"/>
      <c r="G179" s="3"/>
      <c r="H179" s="4"/>
      <c r="I179" s="4"/>
      <c r="J179" s="4"/>
      <c r="K179" s="4"/>
      <c r="L179" s="4"/>
      <c r="M179" s="4"/>
      <c r="N179" s="2" t="str">
        <f t="shared" si="22"/>
        <v/>
      </c>
      <c r="O179" s="2" t="str">
        <f t="shared" si="23"/>
        <v/>
      </c>
      <c r="P179" s="2" t="str">
        <f t="shared" si="24"/>
        <v/>
      </c>
      <c r="Q179" s="2" t="str">
        <f t="shared" si="25"/>
        <v/>
      </c>
      <c r="R179" s="2" t="str">
        <f t="shared" si="26"/>
        <v/>
      </c>
      <c r="S179" s="2" t="str">
        <f t="shared" si="27"/>
        <v/>
      </c>
      <c r="T179" s="2" t="str">
        <f t="shared" si="28"/>
        <v/>
      </c>
      <c r="U179" s="2" t="str">
        <f t="shared" si="29"/>
        <v/>
      </c>
      <c r="V179" s="2" t="b">
        <f t="shared" si="30"/>
        <v>0</v>
      </c>
      <c r="AA179" s="2" t="str">
        <f t="shared" si="31"/>
        <v/>
      </c>
      <c r="AB179" s="2" t="b">
        <f t="shared" si="32"/>
        <v>0</v>
      </c>
    </row>
    <row r="180" spans="1:28" x14ac:dyDescent="0.3">
      <c r="A180" s="2">
        <v>179</v>
      </c>
      <c r="B180" s="4"/>
      <c r="C180" s="4" t="s">
        <v>41</v>
      </c>
      <c r="D180" s="3"/>
      <c r="E180" s="3"/>
      <c r="F180" s="3"/>
      <c r="G180" s="3"/>
      <c r="H180" s="4"/>
      <c r="I180" s="4"/>
      <c r="J180" s="4"/>
      <c r="K180" s="4"/>
      <c r="L180" s="4"/>
      <c r="M180" s="4"/>
      <c r="N180" s="2" t="str">
        <f t="shared" si="22"/>
        <v/>
      </c>
      <c r="O180" s="2" t="str">
        <f t="shared" si="23"/>
        <v/>
      </c>
      <c r="P180" s="2" t="str">
        <f t="shared" si="24"/>
        <v/>
      </c>
      <c r="Q180" s="2" t="str">
        <f t="shared" si="25"/>
        <v/>
      </c>
      <c r="R180" s="2" t="str">
        <f t="shared" si="26"/>
        <v/>
      </c>
      <c r="S180" s="2" t="str">
        <f t="shared" si="27"/>
        <v/>
      </c>
      <c r="T180" s="2" t="str">
        <f t="shared" si="28"/>
        <v/>
      </c>
      <c r="U180" s="2" t="str">
        <f t="shared" si="29"/>
        <v/>
      </c>
      <c r="V180" s="2" t="b">
        <f t="shared" si="30"/>
        <v>0</v>
      </c>
      <c r="AA180" s="2" t="str">
        <f t="shared" si="31"/>
        <v/>
      </c>
      <c r="AB180" s="2" t="b">
        <f t="shared" si="32"/>
        <v>0</v>
      </c>
    </row>
    <row r="181" spans="1:28" x14ac:dyDescent="0.3">
      <c r="A181" s="2">
        <v>180</v>
      </c>
      <c r="B181" s="4"/>
      <c r="C181" s="4" t="s">
        <v>41</v>
      </c>
      <c r="D181" s="3"/>
      <c r="E181" s="3"/>
      <c r="F181" s="3"/>
      <c r="G181" s="3"/>
      <c r="H181" s="4"/>
      <c r="I181" s="4"/>
      <c r="J181" s="4"/>
      <c r="K181" s="4"/>
      <c r="L181" s="4"/>
      <c r="M181" s="4"/>
      <c r="N181" s="2" t="str">
        <f t="shared" si="22"/>
        <v/>
      </c>
      <c r="O181" s="2" t="str">
        <f t="shared" si="23"/>
        <v/>
      </c>
      <c r="P181" s="2" t="str">
        <f t="shared" si="24"/>
        <v/>
      </c>
      <c r="Q181" s="2" t="str">
        <f t="shared" si="25"/>
        <v/>
      </c>
      <c r="R181" s="2" t="str">
        <f t="shared" si="26"/>
        <v/>
      </c>
      <c r="S181" s="2" t="str">
        <f t="shared" si="27"/>
        <v/>
      </c>
      <c r="T181" s="2" t="str">
        <f t="shared" si="28"/>
        <v/>
      </c>
      <c r="U181" s="2" t="str">
        <f t="shared" si="29"/>
        <v/>
      </c>
      <c r="V181" s="2" t="b">
        <f t="shared" si="30"/>
        <v>0</v>
      </c>
      <c r="AA181" s="2" t="str">
        <f t="shared" si="31"/>
        <v/>
      </c>
      <c r="AB181" s="2" t="b">
        <f t="shared" si="32"/>
        <v>0</v>
      </c>
    </row>
    <row r="182" spans="1:28" x14ac:dyDescent="0.3">
      <c r="A182" s="2">
        <v>181</v>
      </c>
      <c r="B182" s="4"/>
      <c r="C182" s="4" t="s">
        <v>41</v>
      </c>
      <c r="D182" s="3"/>
      <c r="E182" s="3"/>
      <c r="F182" s="3"/>
      <c r="G182" s="3"/>
      <c r="H182" s="4"/>
      <c r="I182" s="4"/>
      <c r="J182" s="4"/>
      <c r="K182" s="4"/>
      <c r="L182" s="4"/>
      <c r="M182" s="4"/>
      <c r="N182" s="2" t="str">
        <f t="shared" si="22"/>
        <v/>
      </c>
      <c r="O182" s="2" t="str">
        <f t="shared" si="23"/>
        <v/>
      </c>
      <c r="P182" s="2" t="str">
        <f t="shared" si="24"/>
        <v/>
      </c>
      <c r="Q182" s="2" t="str">
        <f t="shared" si="25"/>
        <v/>
      </c>
      <c r="R182" s="2" t="str">
        <f t="shared" si="26"/>
        <v/>
      </c>
      <c r="S182" s="2" t="str">
        <f t="shared" si="27"/>
        <v/>
      </c>
      <c r="T182" s="2" t="str">
        <f t="shared" si="28"/>
        <v/>
      </c>
      <c r="U182" s="2" t="str">
        <f t="shared" si="29"/>
        <v/>
      </c>
      <c r="V182" s="2" t="b">
        <f t="shared" si="30"/>
        <v>0</v>
      </c>
      <c r="AA182" s="2" t="str">
        <f t="shared" si="31"/>
        <v/>
      </c>
      <c r="AB182" s="2" t="b">
        <f t="shared" si="32"/>
        <v>0</v>
      </c>
    </row>
    <row r="183" spans="1:28" x14ac:dyDescent="0.3">
      <c r="A183" s="2">
        <v>182</v>
      </c>
      <c r="B183" s="4"/>
      <c r="C183" s="4" t="s">
        <v>41</v>
      </c>
      <c r="D183" s="3"/>
      <c r="E183" s="3"/>
      <c r="F183" s="3"/>
      <c r="G183" s="3"/>
      <c r="H183" s="4"/>
      <c r="I183" s="4"/>
      <c r="J183" s="4"/>
      <c r="K183" s="4"/>
      <c r="L183" s="4"/>
      <c r="M183" s="4"/>
      <c r="N183" s="2" t="str">
        <f t="shared" si="22"/>
        <v/>
      </c>
      <c r="O183" s="2" t="str">
        <f t="shared" si="23"/>
        <v/>
      </c>
      <c r="P183" s="2" t="str">
        <f t="shared" si="24"/>
        <v/>
      </c>
      <c r="Q183" s="2" t="str">
        <f t="shared" si="25"/>
        <v/>
      </c>
      <c r="R183" s="2" t="str">
        <f t="shared" si="26"/>
        <v/>
      </c>
      <c r="S183" s="2" t="str">
        <f t="shared" si="27"/>
        <v/>
      </c>
      <c r="T183" s="2" t="str">
        <f t="shared" si="28"/>
        <v/>
      </c>
      <c r="U183" s="2" t="str">
        <f t="shared" si="29"/>
        <v/>
      </c>
      <c r="V183" s="2" t="b">
        <f t="shared" si="30"/>
        <v>0</v>
      </c>
      <c r="AA183" s="2" t="str">
        <f t="shared" si="31"/>
        <v/>
      </c>
      <c r="AB183" s="2" t="b">
        <f t="shared" si="32"/>
        <v>0</v>
      </c>
    </row>
    <row r="184" spans="1:28" x14ac:dyDescent="0.3">
      <c r="A184" s="2">
        <v>183</v>
      </c>
      <c r="B184" s="4"/>
      <c r="C184" s="4" t="s">
        <v>41</v>
      </c>
      <c r="D184" s="3"/>
      <c r="E184" s="3"/>
      <c r="F184" s="3"/>
      <c r="G184" s="3"/>
      <c r="H184" s="4"/>
      <c r="I184" s="4"/>
      <c r="J184" s="4"/>
      <c r="K184" s="4"/>
      <c r="L184" s="4"/>
      <c r="M184" s="4"/>
      <c r="N184" s="2" t="str">
        <f t="shared" si="22"/>
        <v/>
      </c>
      <c r="O184" s="2" t="str">
        <f t="shared" si="23"/>
        <v/>
      </c>
      <c r="P184" s="2" t="str">
        <f t="shared" si="24"/>
        <v/>
      </c>
      <c r="Q184" s="2" t="str">
        <f t="shared" si="25"/>
        <v/>
      </c>
      <c r="R184" s="2" t="str">
        <f t="shared" si="26"/>
        <v/>
      </c>
      <c r="S184" s="2" t="str">
        <f t="shared" si="27"/>
        <v/>
      </c>
      <c r="T184" s="2" t="str">
        <f t="shared" si="28"/>
        <v/>
      </c>
      <c r="U184" s="2" t="str">
        <f t="shared" si="29"/>
        <v/>
      </c>
      <c r="V184" s="2" t="b">
        <f t="shared" si="30"/>
        <v>0</v>
      </c>
      <c r="AA184" s="2" t="str">
        <f t="shared" si="31"/>
        <v/>
      </c>
      <c r="AB184" s="2" t="b">
        <f t="shared" si="32"/>
        <v>0</v>
      </c>
    </row>
    <row r="185" spans="1:28" x14ac:dyDescent="0.3">
      <c r="A185" s="2">
        <v>184</v>
      </c>
      <c r="B185" s="4"/>
      <c r="C185" s="4" t="s">
        <v>41</v>
      </c>
      <c r="D185" s="3"/>
      <c r="E185" s="3"/>
      <c r="F185" s="3"/>
      <c r="G185" s="3"/>
      <c r="H185" s="4"/>
      <c r="I185" s="4"/>
      <c r="J185" s="4"/>
      <c r="K185" s="4"/>
      <c r="L185" s="4"/>
      <c r="M185" s="4"/>
      <c r="N185" s="2" t="str">
        <f t="shared" si="22"/>
        <v/>
      </c>
      <c r="O185" s="2" t="str">
        <f t="shared" si="23"/>
        <v/>
      </c>
      <c r="P185" s="2" t="str">
        <f t="shared" si="24"/>
        <v/>
      </c>
      <c r="Q185" s="2" t="str">
        <f t="shared" si="25"/>
        <v/>
      </c>
      <c r="R185" s="2" t="str">
        <f t="shared" si="26"/>
        <v/>
      </c>
      <c r="S185" s="2" t="str">
        <f t="shared" si="27"/>
        <v/>
      </c>
      <c r="T185" s="2" t="str">
        <f t="shared" si="28"/>
        <v/>
      </c>
      <c r="U185" s="2" t="str">
        <f t="shared" si="29"/>
        <v/>
      </c>
      <c r="V185" s="2" t="b">
        <f t="shared" si="30"/>
        <v>0</v>
      </c>
      <c r="AA185" s="2" t="str">
        <f t="shared" si="31"/>
        <v/>
      </c>
      <c r="AB185" s="2" t="b">
        <f t="shared" si="32"/>
        <v>0</v>
      </c>
    </row>
    <row r="186" spans="1:28" x14ac:dyDescent="0.3">
      <c r="A186" s="2">
        <v>185</v>
      </c>
      <c r="B186" s="4"/>
      <c r="C186" s="4" t="s">
        <v>41</v>
      </c>
      <c r="D186" s="3"/>
      <c r="E186" s="3"/>
      <c r="F186" s="3"/>
      <c r="G186" s="3"/>
      <c r="H186" s="4"/>
      <c r="I186" s="4"/>
      <c r="J186" s="4"/>
      <c r="K186" s="4"/>
      <c r="L186" s="4"/>
      <c r="M186" s="4"/>
      <c r="N186" s="2" t="str">
        <f t="shared" si="22"/>
        <v/>
      </c>
      <c r="O186" s="2" t="str">
        <f t="shared" si="23"/>
        <v/>
      </c>
      <c r="P186" s="2" t="str">
        <f t="shared" si="24"/>
        <v/>
      </c>
      <c r="Q186" s="2" t="str">
        <f t="shared" si="25"/>
        <v/>
      </c>
      <c r="R186" s="2" t="str">
        <f t="shared" si="26"/>
        <v/>
      </c>
      <c r="S186" s="2" t="str">
        <f t="shared" si="27"/>
        <v/>
      </c>
      <c r="T186" s="2" t="str">
        <f t="shared" si="28"/>
        <v/>
      </c>
      <c r="U186" s="2" t="str">
        <f t="shared" si="29"/>
        <v/>
      </c>
      <c r="V186" s="2" t="b">
        <f t="shared" si="30"/>
        <v>0</v>
      </c>
      <c r="AA186" s="2" t="str">
        <f t="shared" si="31"/>
        <v/>
      </c>
      <c r="AB186" s="2" t="b">
        <f t="shared" si="32"/>
        <v>0</v>
      </c>
    </row>
    <row r="187" spans="1:28" x14ac:dyDescent="0.3">
      <c r="A187" s="2">
        <v>186</v>
      </c>
      <c r="B187" s="4"/>
      <c r="C187" s="4" t="s">
        <v>41</v>
      </c>
      <c r="D187" s="3"/>
      <c r="E187" s="3"/>
      <c r="F187" s="3"/>
      <c r="G187" s="3"/>
      <c r="H187" s="4"/>
      <c r="I187" s="4"/>
      <c r="J187" s="4"/>
      <c r="K187" s="4"/>
      <c r="L187" s="4"/>
      <c r="M187" s="4"/>
      <c r="N187" s="2" t="str">
        <f t="shared" si="22"/>
        <v/>
      </c>
      <c r="O187" s="2" t="str">
        <f t="shared" si="23"/>
        <v/>
      </c>
      <c r="P187" s="2" t="str">
        <f t="shared" si="24"/>
        <v/>
      </c>
      <c r="Q187" s="2" t="str">
        <f t="shared" si="25"/>
        <v/>
      </c>
      <c r="R187" s="2" t="str">
        <f t="shared" si="26"/>
        <v/>
      </c>
      <c r="S187" s="2" t="str">
        <f t="shared" si="27"/>
        <v/>
      </c>
      <c r="T187" s="2" t="str">
        <f t="shared" si="28"/>
        <v/>
      </c>
      <c r="U187" s="2" t="str">
        <f t="shared" si="29"/>
        <v/>
      </c>
      <c r="V187" s="2" t="b">
        <f t="shared" si="30"/>
        <v>0</v>
      </c>
      <c r="AA187" s="2" t="str">
        <f t="shared" si="31"/>
        <v/>
      </c>
      <c r="AB187" s="2" t="b">
        <f t="shared" si="32"/>
        <v>0</v>
      </c>
    </row>
    <row r="188" spans="1:28" x14ac:dyDescent="0.3">
      <c r="A188" s="2">
        <v>187</v>
      </c>
      <c r="B188" s="4"/>
      <c r="C188" s="4" t="s">
        <v>41</v>
      </c>
      <c r="D188" s="3"/>
      <c r="E188" s="3"/>
      <c r="F188" s="3"/>
      <c r="G188" s="3"/>
      <c r="H188" s="4"/>
      <c r="I188" s="4"/>
      <c r="J188" s="4"/>
      <c r="K188" s="4"/>
      <c r="L188" s="4"/>
      <c r="M188" s="4"/>
      <c r="N188" s="2" t="str">
        <f t="shared" si="22"/>
        <v/>
      </c>
      <c r="O188" s="2" t="str">
        <f t="shared" si="23"/>
        <v/>
      </c>
      <c r="P188" s="2" t="str">
        <f t="shared" si="24"/>
        <v/>
      </c>
      <c r="Q188" s="2" t="str">
        <f t="shared" si="25"/>
        <v/>
      </c>
      <c r="R188" s="2" t="str">
        <f t="shared" si="26"/>
        <v/>
      </c>
      <c r="S188" s="2" t="str">
        <f t="shared" si="27"/>
        <v/>
      </c>
      <c r="T188" s="2" t="str">
        <f t="shared" si="28"/>
        <v/>
      </c>
      <c r="U188" s="2" t="str">
        <f t="shared" si="29"/>
        <v/>
      </c>
      <c r="V188" s="2" t="b">
        <f t="shared" si="30"/>
        <v>0</v>
      </c>
      <c r="AA188" s="2" t="str">
        <f t="shared" si="31"/>
        <v/>
      </c>
      <c r="AB188" s="2" t="b">
        <f t="shared" si="32"/>
        <v>0</v>
      </c>
    </row>
    <row r="189" spans="1:28" x14ac:dyDescent="0.3">
      <c r="A189" s="2">
        <v>188</v>
      </c>
      <c r="B189" s="4"/>
      <c r="C189" s="4" t="s">
        <v>41</v>
      </c>
      <c r="D189" s="3"/>
      <c r="E189" s="3"/>
      <c r="F189" s="3"/>
      <c r="G189" s="3"/>
      <c r="H189" s="4"/>
      <c r="I189" s="4"/>
      <c r="J189" s="4"/>
      <c r="K189" s="4"/>
      <c r="L189" s="4"/>
      <c r="M189" s="4"/>
      <c r="N189" s="2" t="str">
        <f t="shared" si="22"/>
        <v/>
      </c>
      <c r="O189" s="2" t="str">
        <f t="shared" si="23"/>
        <v/>
      </c>
      <c r="P189" s="2" t="str">
        <f t="shared" si="24"/>
        <v/>
      </c>
      <c r="Q189" s="2" t="str">
        <f t="shared" si="25"/>
        <v/>
      </c>
      <c r="R189" s="2" t="str">
        <f t="shared" si="26"/>
        <v/>
      </c>
      <c r="S189" s="2" t="str">
        <f t="shared" si="27"/>
        <v/>
      </c>
      <c r="T189" s="2" t="str">
        <f t="shared" si="28"/>
        <v/>
      </c>
      <c r="U189" s="2" t="str">
        <f t="shared" si="29"/>
        <v/>
      </c>
      <c r="V189" s="2" t="b">
        <f t="shared" si="30"/>
        <v>0</v>
      </c>
      <c r="AA189" s="2" t="str">
        <f t="shared" si="31"/>
        <v/>
      </c>
      <c r="AB189" s="2" t="b">
        <f t="shared" si="32"/>
        <v>0</v>
      </c>
    </row>
    <row r="190" spans="1:28" x14ac:dyDescent="0.3">
      <c r="A190" s="2">
        <v>189</v>
      </c>
      <c r="B190" s="4"/>
      <c r="C190" s="4" t="s">
        <v>41</v>
      </c>
      <c r="D190" s="3"/>
      <c r="E190" s="3"/>
      <c r="F190" s="3"/>
      <c r="G190" s="3"/>
      <c r="H190" s="4"/>
      <c r="I190" s="4"/>
      <c r="J190" s="4"/>
      <c r="K190" s="4"/>
      <c r="L190" s="4"/>
      <c r="M190" s="4"/>
      <c r="N190" s="2" t="str">
        <f t="shared" si="22"/>
        <v/>
      </c>
      <c r="O190" s="2" t="str">
        <f t="shared" si="23"/>
        <v/>
      </c>
      <c r="P190" s="2" t="str">
        <f t="shared" si="24"/>
        <v/>
      </c>
      <c r="Q190" s="2" t="str">
        <f t="shared" si="25"/>
        <v/>
      </c>
      <c r="R190" s="2" t="str">
        <f t="shared" si="26"/>
        <v/>
      </c>
      <c r="S190" s="2" t="str">
        <f t="shared" si="27"/>
        <v/>
      </c>
      <c r="T190" s="2" t="str">
        <f t="shared" si="28"/>
        <v/>
      </c>
      <c r="U190" s="2" t="str">
        <f t="shared" si="29"/>
        <v/>
      </c>
      <c r="V190" s="2" t="b">
        <f t="shared" si="30"/>
        <v>0</v>
      </c>
      <c r="AA190" s="2" t="str">
        <f t="shared" si="31"/>
        <v/>
      </c>
      <c r="AB190" s="2" t="b">
        <f t="shared" si="32"/>
        <v>0</v>
      </c>
    </row>
    <row r="191" spans="1:28" x14ac:dyDescent="0.3">
      <c r="A191" s="2">
        <v>190</v>
      </c>
      <c r="B191" s="4"/>
      <c r="C191" s="4" t="s">
        <v>41</v>
      </c>
      <c r="D191" s="3"/>
      <c r="E191" s="3"/>
      <c r="F191" s="3"/>
      <c r="G191" s="3"/>
      <c r="H191" s="4"/>
      <c r="I191" s="4"/>
      <c r="J191" s="4"/>
      <c r="K191" s="4"/>
      <c r="L191" s="4"/>
      <c r="M191" s="4"/>
      <c r="N191" s="2" t="str">
        <f t="shared" si="22"/>
        <v/>
      </c>
      <c r="O191" s="2" t="str">
        <f t="shared" si="23"/>
        <v/>
      </c>
      <c r="P191" s="2" t="str">
        <f t="shared" si="24"/>
        <v/>
      </c>
      <c r="Q191" s="2" t="str">
        <f t="shared" si="25"/>
        <v/>
      </c>
      <c r="R191" s="2" t="str">
        <f t="shared" si="26"/>
        <v/>
      </c>
      <c r="S191" s="2" t="str">
        <f t="shared" si="27"/>
        <v/>
      </c>
      <c r="T191" s="2" t="str">
        <f t="shared" si="28"/>
        <v/>
      </c>
      <c r="U191" s="2" t="str">
        <f t="shared" si="29"/>
        <v/>
      </c>
      <c r="V191" s="2" t="b">
        <f t="shared" si="30"/>
        <v>0</v>
      </c>
      <c r="AA191" s="2" t="str">
        <f t="shared" si="31"/>
        <v/>
      </c>
      <c r="AB191" s="2" t="b">
        <f t="shared" si="32"/>
        <v>0</v>
      </c>
    </row>
    <row r="192" spans="1:28" x14ac:dyDescent="0.3">
      <c r="A192" s="2">
        <v>191</v>
      </c>
      <c r="B192" s="4"/>
      <c r="C192" s="4" t="s">
        <v>41</v>
      </c>
      <c r="D192" s="3"/>
      <c r="E192" s="3"/>
      <c r="F192" s="3"/>
      <c r="G192" s="3"/>
      <c r="H192" s="4"/>
      <c r="I192" s="4"/>
      <c r="J192" s="4"/>
      <c r="K192" s="4"/>
      <c r="L192" s="4"/>
      <c r="M192" s="4"/>
      <c r="N192" s="2" t="str">
        <f t="shared" si="22"/>
        <v/>
      </c>
      <c r="O192" s="2" t="str">
        <f t="shared" si="23"/>
        <v/>
      </c>
      <c r="P192" s="2" t="str">
        <f t="shared" si="24"/>
        <v/>
      </c>
      <c r="Q192" s="2" t="str">
        <f t="shared" si="25"/>
        <v/>
      </c>
      <c r="R192" s="2" t="str">
        <f t="shared" si="26"/>
        <v/>
      </c>
      <c r="S192" s="2" t="str">
        <f t="shared" si="27"/>
        <v/>
      </c>
      <c r="T192" s="2" t="str">
        <f t="shared" si="28"/>
        <v/>
      </c>
      <c r="U192" s="2" t="str">
        <f t="shared" si="29"/>
        <v/>
      </c>
      <c r="V192" s="2" t="b">
        <f t="shared" si="30"/>
        <v>0</v>
      </c>
      <c r="AA192" s="2" t="str">
        <f t="shared" si="31"/>
        <v/>
      </c>
      <c r="AB192" s="2" t="b">
        <f t="shared" si="32"/>
        <v>0</v>
      </c>
    </row>
    <row r="193" spans="1:28" x14ac:dyDescent="0.3">
      <c r="A193" s="2">
        <v>192</v>
      </c>
      <c r="B193" s="4"/>
      <c r="C193" s="4" t="s">
        <v>41</v>
      </c>
      <c r="D193" s="3"/>
      <c r="E193" s="3"/>
      <c r="F193" s="3"/>
      <c r="G193" s="3"/>
      <c r="H193" s="4"/>
      <c r="I193" s="4"/>
      <c r="J193" s="4"/>
      <c r="K193" s="4"/>
      <c r="L193" s="4"/>
      <c r="M193" s="4"/>
      <c r="N193" s="2" t="str">
        <f t="shared" si="22"/>
        <v/>
      </c>
      <c r="O193" s="2" t="str">
        <f t="shared" si="23"/>
        <v/>
      </c>
      <c r="P193" s="2" t="str">
        <f t="shared" si="24"/>
        <v/>
      </c>
      <c r="Q193" s="2" t="str">
        <f t="shared" si="25"/>
        <v/>
      </c>
      <c r="R193" s="2" t="str">
        <f t="shared" si="26"/>
        <v/>
      </c>
      <c r="S193" s="2" t="str">
        <f t="shared" si="27"/>
        <v/>
      </c>
      <c r="T193" s="2" t="str">
        <f t="shared" si="28"/>
        <v/>
      </c>
      <c r="U193" s="2" t="str">
        <f t="shared" si="29"/>
        <v/>
      </c>
      <c r="V193" s="2" t="b">
        <f t="shared" si="30"/>
        <v>0</v>
      </c>
      <c r="AA193" s="2" t="str">
        <f t="shared" si="31"/>
        <v/>
      </c>
      <c r="AB193" s="2" t="b">
        <f t="shared" si="32"/>
        <v>0</v>
      </c>
    </row>
    <row r="194" spans="1:28" x14ac:dyDescent="0.3">
      <c r="A194" s="2">
        <v>193</v>
      </c>
      <c r="B194" s="4"/>
      <c r="C194" s="4" t="s">
        <v>41</v>
      </c>
      <c r="D194" s="3"/>
      <c r="E194" s="3"/>
      <c r="F194" s="3"/>
      <c r="G194" s="3"/>
      <c r="H194" s="4"/>
      <c r="I194" s="4"/>
      <c r="J194" s="4"/>
      <c r="K194" s="4"/>
      <c r="L194" s="4"/>
      <c r="M194" s="4"/>
      <c r="N194" s="2" t="str">
        <f t="shared" ref="N194:N257" si="33">IF(OR(H194="",I194="",J194="",K194=""),"",(IF(H194&gt;I194,1,0)+IF(J194&gt;K194,1,0)+IF(AND(L194&lt;&gt;"",M194&lt;&gt;""),IF(L194&gt;M194,1,0),0)))</f>
        <v/>
      </c>
      <c r="O194" s="2" t="str">
        <f t="shared" ref="O194:O257" si="34">IF(N194="","",(IF(H194&lt;I194,1,0)+IF(J194&lt;K194,1,0)+IF(AND(L194&lt;&gt;"",M194&lt;&gt;""),IF(L194&lt;M194,1,0),0)))</f>
        <v/>
      </c>
      <c r="P194" s="2" t="str">
        <f t="shared" ref="P194:P257" si="35">IF(N194="","",IF(N194&gt;O194,"A","B"))</f>
        <v/>
      </c>
      <c r="Q194" s="2" t="str">
        <f t="shared" ref="Q194:Q257" si="36">IF(N194="","",H194+J194+IF(L194="",0,L194))</f>
        <v/>
      </c>
      <c r="R194" s="2" t="str">
        <f t="shared" ref="R194:R257" si="37">IF(N194="","",I194+K194+IF(M194="",0,M194))</f>
        <v/>
      </c>
      <c r="S194" s="2" t="str">
        <f t="shared" ref="S194:S257" si="38">IF(N194="","",Q194-R194)</f>
        <v/>
      </c>
      <c r="T194" s="2" t="str">
        <f t="shared" ref="T194:T257" si="39">IF(OR(C194&lt;&gt;$X$2,P194=""),"",MIN(MAX(0,S194)*$X$5,$X$6))</f>
        <v/>
      </c>
      <c r="U194" s="2" t="str">
        <f t="shared" ref="U194:U257" si="40">IF(OR(C194&lt;&gt;$X$2,P194=""),"",MIN(MAX(0,-S194)*$X$5,$X$6))</f>
        <v/>
      </c>
      <c r="V194" s="2" t="b">
        <f t="shared" ref="V194:V257" si="41">IF($Z$2="","",OR($D194=$Z$2,$E194=$Z$2,$F194=$Z$2,$G194=$Z$2))</f>
        <v>0</v>
      </c>
      <c r="AA194" s="2" t="str">
        <f t="shared" ref="AA194:AA257" si="42">IF($B194="","",YEAR($B194))</f>
        <v/>
      </c>
      <c r="AB194" s="2" t="b">
        <f t="shared" ref="AB194:AB257" si="43">IF($Z$5="Todas",TRUE,$AA194=$Z$5)</f>
        <v>0</v>
      </c>
    </row>
    <row r="195" spans="1:28" x14ac:dyDescent="0.3">
      <c r="A195" s="2">
        <v>194</v>
      </c>
      <c r="B195" s="4"/>
      <c r="C195" s="4" t="s">
        <v>41</v>
      </c>
      <c r="D195" s="3"/>
      <c r="E195" s="3"/>
      <c r="F195" s="3"/>
      <c r="G195" s="3"/>
      <c r="H195" s="4"/>
      <c r="I195" s="4"/>
      <c r="J195" s="4"/>
      <c r="K195" s="4"/>
      <c r="L195" s="4"/>
      <c r="M195" s="4"/>
      <c r="N195" s="2" t="str">
        <f t="shared" si="33"/>
        <v/>
      </c>
      <c r="O195" s="2" t="str">
        <f t="shared" si="34"/>
        <v/>
      </c>
      <c r="P195" s="2" t="str">
        <f t="shared" si="35"/>
        <v/>
      </c>
      <c r="Q195" s="2" t="str">
        <f t="shared" si="36"/>
        <v/>
      </c>
      <c r="R195" s="2" t="str">
        <f t="shared" si="37"/>
        <v/>
      </c>
      <c r="S195" s="2" t="str">
        <f t="shared" si="38"/>
        <v/>
      </c>
      <c r="T195" s="2" t="str">
        <f t="shared" si="39"/>
        <v/>
      </c>
      <c r="U195" s="2" t="str">
        <f t="shared" si="40"/>
        <v/>
      </c>
      <c r="V195" s="2" t="b">
        <f t="shared" si="41"/>
        <v>0</v>
      </c>
      <c r="AA195" s="2" t="str">
        <f t="shared" si="42"/>
        <v/>
      </c>
      <c r="AB195" s="2" t="b">
        <f t="shared" si="43"/>
        <v>0</v>
      </c>
    </row>
    <row r="196" spans="1:28" x14ac:dyDescent="0.3">
      <c r="A196" s="2">
        <v>195</v>
      </c>
      <c r="B196" s="4"/>
      <c r="C196" s="4" t="s">
        <v>41</v>
      </c>
      <c r="D196" s="3"/>
      <c r="E196" s="3"/>
      <c r="F196" s="3"/>
      <c r="G196" s="3"/>
      <c r="H196" s="4"/>
      <c r="I196" s="4"/>
      <c r="J196" s="4"/>
      <c r="K196" s="4"/>
      <c r="L196" s="4"/>
      <c r="M196" s="4"/>
      <c r="N196" s="2" t="str">
        <f t="shared" si="33"/>
        <v/>
      </c>
      <c r="O196" s="2" t="str">
        <f t="shared" si="34"/>
        <v/>
      </c>
      <c r="P196" s="2" t="str">
        <f t="shared" si="35"/>
        <v/>
      </c>
      <c r="Q196" s="2" t="str">
        <f t="shared" si="36"/>
        <v/>
      </c>
      <c r="R196" s="2" t="str">
        <f t="shared" si="37"/>
        <v/>
      </c>
      <c r="S196" s="2" t="str">
        <f t="shared" si="38"/>
        <v/>
      </c>
      <c r="T196" s="2" t="str">
        <f t="shared" si="39"/>
        <v/>
      </c>
      <c r="U196" s="2" t="str">
        <f t="shared" si="40"/>
        <v/>
      </c>
      <c r="V196" s="2" t="b">
        <f t="shared" si="41"/>
        <v>0</v>
      </c>
      <c r="AA196" s="2" t="str">
        <f t="shared" si="42"/>
        <v/>
      </c>
      <c r="AB196" s="2" t="b">
        <f t="shared" si="43"/>
        <v>0</v>
      </c>
    </row>
    <row r="197" spans="1:28" x14ac:dyDescent="0.3">
      <c r="A197" s="2">
        <v>196</v>
      </c>
      <c r="B197" s="4"/>
      <c r="C197" s="4" t="s">
        <v>41</v>
      </c>
      <c r="D197" s="3"/>
      <c r="E197" s="3"/>
      <c r="F197" s="3"/>
      <c r="G197" s="3"/>
      <c r="H197" s="4"/>
      <c r="I197" s="4"/>
      <c r="J197" s="4"/>
      <c r="K197" s="4"/>
      <c r="L197" s="4"/>
      <c r="M197" s="4"/>
      <c r="N197" s="2" t="str">
        <f t="shared" si="33"/>
        <v/>
      </c>
      <c r="O197" s="2" t="str">
        <f t="shared" si="34"/>
        <v/>
      </c>
      <c r="P197" s="2" t="str">
        <f t="shared" si="35"/>
        <v/>
      </c>
      <c r="Q197" s="2" t="str">
        <f t="shared" si="36"/>
        <v/>
      </c>
      <c r="R197" s="2" t="str">
        <f t="shared" si="37"/>
        <v/>
      </c>
      <c r="S197" s="2" t="str">
        <f t="shared" si="38"/>
        <v/>
      </c>
      <c r="T197" s="2" t="str">
        <f t="shared" si="39"/>
        <v/>
      </c>
      <c r="U197" s="2" t="str">
        <f t="shared" si="40"/>
        <v/>
      </c>
      <c r="V197" s="2" t="b">
        <f t="shared" si="41"/>
        <v>0</v>
      </c>
      <c r="AA197" s="2" t="str">
        <f t="shared" si="42"/>
        <v/>
      </c>
      <c r="AB197" s="2" t="b">
        <f t="shared" si="43"/>
        <v>0</v>
      </c>
    </row>
    <row r="198" spans="1:28" x14ac:dyDescent="0.3">
      <c r="A198" s="2">
        <v>197</v>
      </c>
      <c r="B198" s="4"/>
      <c r="C198" s="4" t="s">
        <v>41</v>
      </c>
      <c r="D198" s="3"/>
      <c r="E198" s="3"/>
      <c r="F198" s="3"/>
      <c r="G198" s="3"/>
      <c r="H198" s="4"/>
      <c r="I198" s="4"/>
      <c r="J198" s="4"/>
      <c r="K198" s="4"/>
      <c r="L198" s="4"/>
      <c r="M198" s="4"/>
      <c r="N198" s="2" t="str">
        <f t="shared" si="33"/>
        <v/>
      </c>
      <c r="O198" s="2" t="str">
        <f t="shared" si="34"/>
        <v/>
      </c>
      <c r="P198" s="2" t="str">
        <f t="shared" si="35"/>
        <v/>
      </c>
      <c r="Q198" s="2" t="str">
        <f t="shared" si="36"/>
        <v/>
      </c>
      <c r="R198" s="2" t="str">
        <f t="shared" si="37"/>
        <v/>
      </c>
      <c r="S198" s="2" t="str">
        <f t="shared" si="38"/>
        <v/>
      </c>
      <c r="T198" s="2" t="str">
        <f t="shared" si="39"/>
        <v/>
      </c>
      <c r="U198" s="2" t="str">
        <f t="shared" si="40"/>
        <v/>
      </c>
      <c r="V198" s="2" t="b">
        <f t="shared" si="41"/>
        <v>0</v>
      </c>
      <c r="AA198" s="2" t="str">
        <f t="shared" si="42"/>
        <v/>
      </c>
      <c r="AB198" s="2" t="b">
        <f t="shared" si="43"/>
        <v>0</v>
      </c>
    </row>
    <row r="199" spans="1:28" x14ac:dyDescent="0.3">
      <c r="A199" s="2">
        <v>198</v>
      </c>
      <c r="B199" s="4"/>
      <c r="C199" s="4" t="s">
        <v>41</v>
      </c>
      <c r="D199" s="3"/>
      <c r="E199" s="3"/>
      <c r="F199" s="3"/>
      <c r="G199" s="3"/>
      <c r="H199" s="4"/>
      <c r="I199" s="4"/>
      <c r="J199" s="4"/>
      <c r="K199" s="4"/>
      <c r="L199" s="4"/>
      <c r="M199" s="4"/>
      <c r="N199" s="2" t="str">
        <f t="shared" si="33"/>
        <v/>
      </c>
      <c r="O199" s="2" t="str">
        <f t="shared" si="34"/>
        <v/>
      </c>
      <c r="P199" s="2" t="str">
        <f t="shared" si="35"/>
        <v/>
      </c>
      <c r="Q199" s="2" t="str">
        <f t="shared" si="36"/>
        <v/>
      </c>
      <c r="R199" s="2" t="str">
        <f t="shared" si="37"/>
        <v/>
      </c>
      <c r="S199" s="2" t="str">
        <f t="shared" si="38"/>
        <v/>
      </c>
      <c r="T199" s="2" t="str">
        <f t="shared" si="39"/>
        <v/>
      </c>
      <c r="U199" s="2" t="str">
        <f t="shared" si="40"/>
        <v/>
      </c>
      <c r="V199" s="2" t="b">
        <f t="shared" si="41"/>
        <v>0</v>
      </c>
      <c r="AA199" s="2" t="str">
        <f t="shared" si="42"/>
        <v/>
      </c>
      <c r="AB199" s="2" t="b">
        <f t="shared" si="43"/>
        <v>0</v>
      </c>
    </row>
    <row r="200" spans="1:28" x14ac:dyDescent="0.3">
      <c r="A200" s="2">
        <v>199</v>
      </c>
      <c r="B200" s="4"/>
      <c r="C200" s="4" t="s">
        <v>41</v>
      </c>
      <c r="D200" s="3"/>
      <c r="E200" s="3"/>
      <c r="F200" s="3"/>
      <c r="G200" s="3"/>
      <c r="H200" s="4"/>
      <c r="I200" s="4"/>
      <c r="J200" s="4"/>
      <c r="K200" s="4"/>
      <c r="L200" s="4"/>
      <c r="M200" s="4"/>
      <c r="N200" s="2" t="str">
        <f t="shared" si="33"/>
        <v/>
      </c>
      <c r="O200" s="2" t="str">
        <f t="shared" si="34"/>
        <v/>
      </c>
      <c r="P200" s="2" t="str">
        <f t="shared" si="35"/>
        <v/>
      </c>
      <c r="Q200" s="2" t="str">
        <f t="shared" si="36"/>
        <v/>
      </c>
      <c r="R200" s="2" t="str">
        <f t="shared" si="37"/>
        <v/>
      </c>
      <c r="S200" s="2" t="str">
        <f t="shared" si="38"/>
        <v/>
      </c>
      <c r="T200" s="2" t="str">
        <f t="shared" si="39"/>
        <v/>
      </c>
      <c r="U200" s="2" t="str">
        <f t="shared" si="40"/>
        <v/>
      </c>
      <c r="V200" s="2" t="b">
        <f t="shared" si="41"/>
        <v>0</v>
      </c>
      <c r="AA200" s="2" t="str">
        <f t="shared" si="42"/>
        <v/>
      </c>
      <c r="AB200" s="2" t="b">
        <f t="shared" si="43"/>
        <v>0</v>
      </c>
    </row>
    <row r="201" spans="1:28" x14ac:dyDescent="0.3">
      <c r="A201" s="2">
        <v>200</v>
      </c>
      <c r="B201" s="4"/>
      <c r="C201" s="4" t="s">
        <v>41</v>
      </c>
      <c r="D201" s="3"/>
      <c r="E201" s="3"/>
      <c r="F201" s="3"/>
      <c r="G201" s="3"/>
      <c r="H201" s="4"/>
      <c r="I201" s="4"/>
      <c r="J201" s="4"/>
      <c r="K201" s="4"/>
      <c r="L201" s="4"/>
      <c r="M201" s="4"/>
      <c r="N201" s="2" t="str">
        <f t="shared" si="33"/>
        <v/>
      </c>
      <c r="O201" s="2" t="str">
        <f t="shared" si="34"/>
        <v/>
      </c>
      <c r="P201" s="2" t="str">
        <f t="shared" si="35"/>
        <v/>
      </c>
      <c r="Q201" s="2" t="str">
        <f t="shared" si="36"/>
        <v/>
      </c>
      <c r="R201" s="2" t="str">
        <f t="shared" si="37"/>
        <v/>
      </c>
      <c r="S201" s="2" t="str">
        <f t="shared" si="38"/>
        <v/>
      </c>
      <c r="T201" s="2" t="str">
        <f t="shared" si="39"/>
        <v/>
      </c>
      <c r="U201" s="2" t="str">
        <f t="shared" si="40"/>
        <v/>
      </c>
      <c r="V201" s="2" t="b">
        <f t="shared" si="41"/>
        <v>0</v>
      </c>
      <c r="AA201" s="2" t="str">
        <f t="shared" si="42"/>
        <v/>
      </c>
      <c r="AB201" s="2" t="b">
        <f t="shared" si="43"/>
        <v>0</v>
      </c>
    </row>
    <row r="202" spans="1:28" x14ac:dyDescent="0.3">
      <c r="A202" s="2">
        <v>201</v>
      </c>
      <c r="B202" s="4"/>
      <c r="C202" s="4" t="s">
        <v>41</v>
      </c>
      <c r="D202" s="3"/>
      <c r="E202" s="3"/>
      <c r="F202" s="3"/>
      <c r="G202" s="3"/>
      <c r="H202" s="4"/>
      <c r="I202" s="4"/>
      <c r="J202" s="4"/>
      <c r="K202" s="4"/>
      <c r="L202" s="4"/>
      <c r="M202" s="4"/>
      <c r="N202" s="2" t="str">
        <f t="shared" si="33"/>
        <v/>
      </c>
      <c r="O202" s="2" t="str">
        <f t="shared" si="34"/>
        <v/>
      </c>
      <c r="P202" s="2" t="str">
        <f t="shared" si="35"/>
        <v/>
      </c>
      <c r="Q202" s="2" t="str">
        <f t="shared" si="36"/>
        <v/>
      </c>
      <c r="R202" s="2" t="str">
        <f t="shared" si="37"/>
        <v/>
      </c>
      <c r="S202" s="2" t="str">
        <f t="shared" si="38"/>
        <v/>
      </c>
      <c r="T202" s="2" t="str">
        <f t="shared" si="39"/>
        <v/>
      </c>
      <c r="U202" s="2" t="str">
        <f t="shared" si="40"/>
        <v/>
      </c>
      <c r="V202" s="2" t="b">
        <f t="shared" si="41"/>
        <v>0</v>
      </c>
      <c r="AA202" s="2" t="str">
        <f t="shared" si="42"/>
        <v/>
      </c>
      <c r="AB202" s="2" t="b">
        <f t="shared" si="43"/>
        <v>0</v>
      </c>
    </row>
    <row r="203" spans="1:28" x14ac:dyDescent="0.3">
      <c r="A203" s="2">
        <v>202</v>
      </c>
      <c r="B203" s="4"/>
      <c r="C203" s="4" t="s">
        <v>41</v>
      </c>
      <c r="D203" s="3"/>
      <c r="E203" s="3"/>
      <c r="F203" s="3"/>
      <c r="G203" s="3"/>
      <c r="H203" s="4"/>
      <c r="I203" s="4"/>
      <c r="J203" s="4"/>
      <c r="K203" s="4"/>
      <c r="L203" s="4"/>
      <c r="M203" s="4"/>
      <c r="N203" s="2" t="str">
        <f t="shared" si="33"/>
        <v/>
      </c>
      <c r="O203" s="2" t="str">
        <f t="shared" si="34"/>
        <v/>
      </c>
      <c r="P203" s="2" t="str">
        <f t="shared" si="35"/>
        <v/>
      </c>
      <c r="Q203" s="2" t="str">
        <f t="shared" si="36"/>
        <v/>
      </c>
      <c r="R203" s="2" t="str">
        <f t="shared" si="37"/>
        <v/>
      </c>
      <c r="S203" s="2" t="str">
        <f t="shared" si="38"/>
        <v/>
      </c>
      <c r="T203" s="2" t="str">
        <f t="shared" si="39"/>
        <v/>
      </c>
      <c r="U203" s="2" t="str">
        <f t="shared" si="40"/>
        <v/>
      </c>
      <c r="V203" s="2" t="b">
        <f t="shared" si="41"/>
        <v>0</v>
      </c>
      <c r="AA203" s="2" t="str">
        <f t="shared" si="42"/>
        <v/>
      </c>
      <c r="AB203" s="2" t="b">
        <f t="shared" si="43"/>
        <v>0</v>
      </c>
    </row>
    <row r="204" spans="1:28" x14ac:dyDescent="0.3">
      <c r="A204" s="2">
        <v>203</v>
      </c>
      <c r="B204" s="4"/>
      <c r="C204" s="4" t="s">
        <v>41</v>
      </c>
      <c r="D204" s="3"/>
      <c r="E204" s="3"/>
      <c r="F204" s="3"/>
      <c r="G204" s="3"/>
      <c r="H204" s="4"/>
      <c r="I204" s="4"/>
      <c r="J204" s="4"/>
      <c r="K204" s="4"/>
      <c r="L204" s="4"/>
      <c r="M204" s="4"/>
      <c r="N204" s="2" t="str">
        <f t="shared" si="33"/>
        <v/>
      </c>
      <c r="O204" s="2" t="str">
        <f t="shared" si="34"/>
        <v/>
      </c>
      <c r="P204" s="2" t="str">
        <f t="shared" si="35"/>
        <v/>
      </c>
      <c r="Q204" s="2" t="str">
        <f t="shared" si="36"/>
        <v/>
      </c>
      <c r="R204" s="2" t="str">
        <f t="shared" si="37"/>
        <v/>
      </c>
      <c r="S204" s="2" t="str">
        <f t="shared" si="38"/>
        <v/>
      </c>
      <c r="T204" s="2" t="str">
        <f t="shared" si="39"/>
        <v/>
      </c>
      <c r="U204" s="2" t="str">
        <f t="shared" si="40"/>
        <v/>
      </c>
      <c r="V204" s="2" t="b">
        <f t="shared" si="41"/>
        <v>0</v>
      </c>
      <c r="AA204" s="2" t="str">
        <f t="shared" si="42"/>
        <v/>
      </c>
      <c r="AB204" s="2" t="b">
        <f t="shared" si="43"/>
        <v>0</v>
      </c>
    </row>
    <row r="205" spans="1:28" x14ac:dyDescent="0.3">
      <c r="A205" s="2">
        <v>204</v>
      </c>
      <c r="B205" s="4"/>
      <c r="C205" s="4" t="s">
        <v>41</v>
      </c>
      <c r="D205" s="3"/>
      <c r="E205" s="3"/>
      <c r="F205" s="3"/>
      <c r="G205" s="3"/>
      <c r="H205" s="4"/>
      <c r="I205" s="4"/>
      <c r="J205" s="4"/>
      <c r="K205" s="4"/>
      <c r="L205" s="4"/>
      <c r="M205" s="4"/>
      <c r="N205" s="2" t="str">
        <f t="shared" si="33"/>
        <v/>
      </c>
      <c r="O205" s="2" t="str">
        <f t="shared" si="34"/>
        <v/>
      </c>
      <c r="P205" s="2" t="str">
        <f t="shared" si="35"/>
        <v/>
      </c>
      <c r="Q205" s="2" t="str">
        <f t="shared" si="36"/>
        <v/>
      </c>
      <c r="R205" s="2" t="str">
        <f t="shared" si="37"/>
        <v/>
      </c>
      <c r="S205" s="2" t="str">
        <f t="shared" si="38"/>
        <v/>
      </c>
      <c r="T205" s="2" t="str">
        <f t="shared" si="39"/>
        <v/>
      </c>
      <c r="U205" s="2" t="str">
        <f t="shared" si="40"/>
        <v/>
      </c>
      <c r="V205" s="2" t="b">
        <f t="shared" si="41"/>
        <v>0</v>
      </c>
      <c r="AA205" s="2" t="str">
        <f t="shared" si="42"/>
        <v/>
      </c>
      <c r="AB205" s="2" t="b">
        <f t="shared" si="43"/>
        <v>0</v>
      </c>
    </row>
    <row r="206" spans="1:28" x14ac:dyDescent="0.3">
      <c r="A206" s="2">
        <v>205</v>
      </c>
      <c r="B206" s="4"/>
      <c r="C206" s="4" t="s">
        <v>41</v>
      </c>
      <c r="D206" s="3"/>
      <c r="E206" s="3"/>
      <c r="F206" s="3"/>
      <c r="G206" s="3"/>
      <c r="H206" s="4"/>
      <c r="I206" s="4"/>
      <c r="J206" s="4"/>
      <c r="K206" s="4"/>
      <c r="L206" s="4"/>
      <c r="M206" s="4"/>
      <c r="N206" s="2" t="str">
        <f t="shared" si="33"/>
        <v/>
      </c>
      <c r="O206" s="2" t="str">
        <f t="shared" si="34"/>
        <v/>
      </c>
      <c r="P206" s="2" t="str">
        <f t="shared" si="35"/>
        <v/>
      </c>
      <c r="Q206" s="2" t="str">
        <f t="shared" si="36"/>
        <v/>
      </c>
      <c r="R206" s="2" t="str">
        <f t="shared" si="37"/>
        <v/>
      </c>
      <c r="S206" s="2" t="str">
        <f t="shared" si="38"/>
        <v/>
      </c>
      <c r="T206" s="2" t="str">
        <f t="shared" si="39"/>
        <v/>
      </c>
      <c r="U206" s="2" t="str">
        <f t="shared" si="40"/>
        <v/>
      </c>
      <c r="V206" s="2" t="b">
        <f t="shared" si="41"/>
        <v>0</v>
      </c>
      <c r="AA206" s="2" t="str">
        <f t="shared" si="42"/>
        <v/>
      </c>
      <c r="AB206" s="2" t="b">
        <f t="shared" si="43"/>
        <v>0</v>
      </c>
    </row>
    <row r="207" spans="1:28" x14ac:dyDescent="0.3">
      <c r="A207" s="2">
        <v>206</v>
      </c>
      <c r="B207" s="4"/>
      <c r="C207" s="4" t="s">
        <v>41</v>
      </c>
      <c r="D207" s="3"/>
      <c r="E207" s="3"/>
      <c r="F207" s="3"/>
      <c r="G207" s="3"/>
      <c r="H207" s="4"/>
      <c r="I207" s="4"/>
      <c r="J207" s="4"/>
      <c r="K207" s="4"/>
      <c r="L207" s="4"/>
      <c r="M207" s="4"/>
      <c r="N207" s="2" t="str">
        <f t="shared" si="33"/>
        <v/>
      </c>
      <c r="O207" s="2" t="str">
        <f t="shared" si="34"/>
        <v/>
      </c>
      <c r="P207" s="2" t="str">
        <f t="shared" si="35"/>
        <v/>
      </c>
      <c r="Q207" s="2" t="str">
        <f t="shared" si="36"/>
        <v/>
      </c>
      <c r="R207" s="2" t="str">
        <f t="shared" si="37"/>
        <v/>
      </c>
      <c r="S207" s="2" t="str">
        <f t="shared" si="38"/>
        <v/>
      </c>
      <c r="T207" s="2" t="str">
        <f t="shared" si="39"/>
        <v/>
      </c>
      <c r="U207" s="2" t="str">
        <f t="shared" si="40"/>
        <v/>
      </c>
      <c r="V207" s="2" t="b">
        <f t="shared" si="41"/>
        <v>0</v>
      </c>
      <c r="AA207" s="2" t="str">
        <f t="shared" si="42"/>
        <v/>
      </c>
      <c r="AB207" s="2" t="b">
        <f t="shared" si="43"/>
        <v>0</v>
      </c>
    </row>
    <row r="208" spans="1:28" x14ac:dyDescent="0.3">
      <c r="A208" s="2">
        <v>207</v>
      </c>
      <c r="B208" s="4"/>
      <c r="C208" s="4" t="s">
        <v>41</v>
      </c>
      <c r="D208" s="3"/>
      <c r="E208" s="3"/>
      <c r="F208" s="3"/>
      <c r="G208" s="3"/>
      <c r="H208" s="4"/>
      <c r="I208" s="4"/>
      <c r="J208" s="4"/>
      <c r="K208" s="4"/>
      <c r="L208" s="4"/>
      <c r="M208" s="4"/>
      <c r="N208" s="2" t="str">
        <f t="shared" si="33"/>
        <v/>
      </c>
      <c r="O208" s="2" t="str">
        <f t="shared" si="34"/>
        <v/>
      </c>
      <c r="P208" s="2" t="str">
        <f t="shared" si="35"/>
        <v/>
      </c>
      <c r="Q208" s="2" t="str">
        <f t="shared" si="36"/>
        <v/>
      </c>
      <c r="R208" s="2" t="str">
        <f t="shared" si="37"/>
        <v/>
      </c>
      <c r="S208" s="2" t="str">
        <f t="shared" si="38"/>
        <v/>
      </c>
      <c r="T208" s="2" t="str">
        <f t="shared" si="39"/>
        <v/>
      </c>
      <c r="U208" s="2" t="str">
        <f t="shared" si="40"/>
        <v/>
      </c>
      <c r="V208" s="2" t="b">
        <f t="shared" si="41"/>
        <v>0</v>
      </c>
      <c r="AA208" s="2" t="str">
        <f t="shared" si="42"/>
        <v/>
      </c>
      <c r="AB208" s="2" t="b">
        <f t="shared" si="43"/>
        <v>0</v>
      </c>
    </row>
    <row r="209" spans="1:28" x14ac:dyDescent="0.3">
      <c r="A209" s="2">
        <v>208</v>
      </c>
      <c r="B209" s="4"/>
      <c r="C209" s="4" t="s">
        <v>41</v>
      </c>
      <c r="D209" s="3"/>
      <c r="E209" s="3"/>
      <c r="F209" s="3"/>
      <c r="G209" s="3"/>
      <c r="H209" s="4"/>
      <c r="I209" s="4"/>
      <c r="J209" s="4"/>
      <c r="K209" s="4"/>
      <c r="L209" s="4"/>
      <c r="M209" s="4"/>
      <c r="N209" s="2" t="str">
        <f t="shared" si="33"/>
        <v/>
      </c>
      <c r="O209" s="2" t="str">
        <f t="shared" si="34"/>
        <v/>
      </c>
      <c r="P209" s="2" t="str">
        <f t="shared" si="35"/>
        <v/>
      </c>
      <c r="Q209" s="2" t="str">
        <f t="shared" si="36"/>
        <v/>
      </c>
      <c r="R209" s="2" t="str">
        <f t="shared" si="37"/>
        <v/>
      </c>
      <c r="S209" s="2" t="str">
        <f t="shared" si="38"/>
        <v/>
      </c>
      <c r="T209" s="2" t="str">
        <f t="shared" si="39"/>
        <v/>
      </c>
      <c r="U209" s="2" t="str">
        <f t="shared" si="40"/>
        <v/>
      </c>
      <c r="V209" s="2" t="b">
        <f t="shared" si="41"/>
        <v>0</v>
      </c>
      <c r="AA209" s="2" t="str">
        <f t="shared" si="42"/>
        <v/>
      </c>
      <c r="AB209" s="2" t="b">
        <f t="shared" si="43"/>
        <v>0</v>
      </c>
    </row>
    <row r="210" spans="1:28" x14ac:dyDescent="0.3">
      <c r="A210" s="2">
        <v>209</v>
      </c>
      <c r="B210" s="4"/>
      <c r="C210" s="4" t="s">
        <v>41</v>
      </c>
      <c r="D210" s="3"/>
      <c r="E210" s="3"/>
      <c r="F210" s="3"/>
      <c r="G210" s="3"/>
      <c r="H210" s="4"/>
      <c r="I210" s="4"/>
      <c r="J210" s="4"/>
      <c r="K210" s="4"/>
      <c r="L210" s="4"/>
      <c r="M210" s="4"/>
      <c r="N210" s="2" t="str">
        <f t="shared" si="33"/>
        <v/>
      </c>
      <c r="O210" s="2" t="str">
        <f t="shared" si="34"/>
        <v/>
      </c>
      <c r="P210" s="2" t="str">
        <f t="shared" si="35"/>
        <v/>
      </c>
      <c r="Q210" s="2" t="str">
        <f t="shared" si="36"/>
        <v/>
      </c>
      <c r="R210" s="2" t="str">
        <f t="shared" si="37"/>
        <v/>
      </c>
      <c r="S210" s="2" t="str">
        <f t="shared" si="38"/>
        <v/>
      </c>
      <c r="T210" s="2" t="str">
        <f t="shared" si="39"/>
        <v/>
      </c>
      <c r="U210" s="2" t="str">
        <f t="shared" si="40"/>
        <v/>
      </c>
      <c r="V210" s="2" t="b">
        <f t="shared" si="41"/>
        <v>0</v>
      </c>
      <c r="AA210" s="2" t="str">
        <f t="shared" si="42"/>
        <v/>
      </c>
      <c r="AB210" s="2" t="b">
        <f t="shared" si="43"/>
        <v>0</v>
      </c>
    </row>
    <row r="211" spans="1:28" x14ac:dyDescent="0.3">
      <c r="A211" s="2">
        <v>210</v>
      </c>
      <c r="B211" s="4"/>
      <c r="C211" s="4" t="s">
        <v>41</v>
      </c>
      <c r="D211" s="3"/>
      <c r="E211" s="3"/>
      <c r="F211" s="3"/>
      <c r="G211" s="3"/>
      <c r="H211" s="4"/>
      <c r="I211" s="4"/>
      <c r="J211" s="4"/>
      <c r="K211" s="4"/>
      <c r="L211" s="4"/>
      <c r="M211" s="4"/>
      <c r="N211" s="2" t="str">
        <f t="shared" si="33"/>
        <v/>
      </c>
      <c r="O211" s="2" t="str">
        <f t="shared" si="34"/>
        <v/>
      </c>
      <c r="P211" s="2" t="str">
        <f t="shared" si="35"/>
        <v/>
      </c>
      <c r="Q211" s="2" t="str">
        <f t="shared" si="36"/>
        <v/>
      </c>
      <c r="R211" s="2" t="str">
        <f t="shared" si="37"/>
        <v/>
      </c>
      <c r="S211" s="2" t="str">
        <f t="shared" si="38"/>
        <v/>
      </c>
      <c r="T211" s="2" t="str">
        <f t="shared" si="39"/>
        <v/>
      </c>
      <c r="U211" s="2" t="str">
        <f t="shared" si="40"/>
        <v/>
      </c>
      <c r="V211" s="2" t="b">
        <f t="shared" si="41"/>
        <v>0</v>
      </c>
      <c r="AA211" s="2" t="str">
        <f t="shared" si="42"/>
        <v/>
      </c>
      <c r="AB211" s="2" t="b">
        <f t="shared" si="43"/>
        <v>0</v>
      </c>
    </row>
    <row r="212" spans="1:28" x14ac:dyDescent="0.3">
      <c r="A212" s="2">
        <v>211</v>
      </c>
      <c r="B212" s="4"/>
      <c r="C212" s="4" t="s">
        <v>41</v>
      </c>
      <c r="D212" s="3"/>
      <c r="E212" s="3"/>
      <c r="F212" s="3"/>
      <c r="G212" s="3"/>
      <c r="H212" s="4"/>
      <c r="I212" s="4"/>
      <c r="J212" s="4"/>
      <c r="K212" s="4"/>
      <c r="L212" s="4"/>
      <c r="M212" s="4"/>
      <c r="N212" s="2" t="str">
        <f t="shared" si="33"/>
        <v/>
      </c>
      <c r="O212" s="2" t="str">
        <f t="shared" si="34"/>
        <v/>
      </c>
      <c r="P212" s="2" t="str">
        <f t="shared" si="35"/>
        <v/>
      </c>
      <c r="Q212" s="2" t="str">
        <f t="shared" si="36"/>
        <v/>
      </c>
      <c r="R212" s="2" t="str">
        <f t="shared" si="37"/>
        <v/>
      </c>
      <c r="S212" s="2" t="str">
        <f t="shared" si="38"/>
        <v/>
      </c>
      <c r="T212" s="2" t="str">
        <f t="shared" si="39"/>
        <v/>
      </c>
      <c r="U212" s="2" t="str">
        <f t="shared" si="40"/>
        <v/>
      </c>
      <c r="V212" s="2" t="b">
        <f t="shared" si="41"/>
        <v>0</v>
      </c>
      <c r="AA212" s="2" t="str">
        <f t="shared" si="42"/>
        <v/>
      </c>
      <c r="AB212" s="2" t="b">
        <f t="shared" si="43"/>
        <v>0</v>
      </c>
    </row>
    <row r="213" spans="1:28" x14ac:dyDescent="0.3">
      <c r="A213" s="2">
        <v>212</v>
      </c>
      <c r="B213" s="4"/>
      <c r="C213" s="4" t="s">
        <v>41</v>
      </c>
      <c r="D213" s="3"/>
      <c r="E213" s="3"/>
      <c r="F213" s="3"/>
      <c r="G213" s="3"/>
      <c r="H213" s="4"/>
      <c r="I213" s="4"/>
      <c r="J213" s="4"/>
      <c r="K213" s="4"/>
      <c r="L213" s="4"/>
      <c r="M213" s="4"/>
      <c r="N213" s="2" t="str">
        <f t="shared" si="33"/>
        <v/>
      </c>
      <c r="O213" s="2" t="str">
        <f t="shared" si="34"/>
        <v/>
      </c>
      <c r="P213" s="2" t="str">
        <f t="shared" si="35"/>
        <v/>
      </c>
      <c r="Q213" s="2" t="str">
        <f t="shared" si="36"/>
        <v/>
      </c>
      <c r="R213" s="2" t="str">
        <f t="shared" si="37"/>
        <v/>
      </c>
      <c r="S213" s="2" t="str">
        <f t="shared" si="38"/>
        <v/>
      </c>
      <c r="T213" s="2" t="str">
        <f t="shared" si="39"/>
        <v/>
      </c>
      <c r="U213" s="2" t="str">
        <f t="shared" si="40"/>
        <v/>
      </c>
      <c r="V213" s="2" t="b">
        <f t="shared" si="41"/>
        <v>0</v>
      </c>
      <c r="AA213" s="2" t="str">
        <f t="shared" si="42"/>
        <v/>
      </c>
      <c r="AB213" s="2" t="b">
        <f t="shared" si="43"/>
        <v>0</v>
      </c>
    </row>
    <row r="214" spans="1:28" x14ac:dyDescent="0.3">
      <c r="A214" s="2">
        <v>213</v>
      </c>
      <c r="B214" s="4"/>
      <c r="C214" s="4" t="s">
        <v>41</v>
      </c>
      <c r="D214" s="3"/>
      <c r="E214" s="3"/>
      <c r="F214" s="3"/>
      <c r="G214" s="3"/>
      <c r="H214" s="4"/>
      <c r="I214" s="4"/>
      <c r="J214" s="4"/>
      <c r="K214" s="4"/>
      <c r="L214" s="4"/>
      <c r="M214" s="4"/>
      <c r="N214" s="2" t="str">
        <f t="shared" si="33"/>
        <v/>
      </c>
      <c r="O214" s="2" t="str">
        <f t="shared" si="34"/>
        <v/>
      </c>
      <c r="P214" s="2" t="str">
        <f t="shared" si="35"/>
        <v/>
      </c>
      <c r="Q214" s="2" t="str">
        <f t="shared" si="36"/>
        <v/>
      </c>
      <c r="R214" s="2" t="str">
        <f t="shared" si="37"/>
        <v/>
      </c>
      <c r="S214" s="2" t="str">
        <f t="shared" si="38"/>
        <v/>
      </c>
      <c r="T214" s="2" t="str">
        <f t="shared" si="39"/>
        <v/>
      </c>
      <c r="U214" s="2" t="str">
        <f t="shared" si="40"/>
        <v/>
      </c>
      <c r="V214" s="2" t="b">
        <f t="shared" si="41"/>
        <v>0</v>
      </c>
      <c r="AA214" s="2" t="str">
        <f t="shared" si="42"/>
        <v/>
      </c>
      <c r="AB214" s="2" t="b">
        <f t="shared" si="43"/>
        <v>0</v>
      </c>
    </row>
    <row r="215" spans="1:28" x14ac:dyDescent="0.3">
      <c r="A215" s="2">
        <v>214</v>
      </c>
      <c r="B215" s="4"/>
      <c r="C215" s="4" t="s">
        <v>41</v>
      </c>
      <c r="D215" s="3"/>
      <c r="E215" s="3"/>
      <c r="F215" s="3"/>
      <c r="G215" s="3"/>
      <c r="H215" s="4"/>
      <c r="I215" s="4"/>
      <c r="J215" s="4"/>
      <c r="K215" s="4"/>
      <c r="L215" s="4"/>
      <c r="M215" s="4"/>
      <c r="N215" s="2" t="str">
        <f t="shared" si="33"/>
        <v/>
      </c>
      <c r="O215" s="2" t="str">
        <f t="shared" si="34"/>
        <v/>
      </c>
      <c r="P215" s="2" t="str">
        <f t="shared" si="35"/>
        <v/>
      </c>
      <c r="Q215" s="2" t="str">
        <f t="shared" si="36"/>
        <v/>
      </c>
      <c r="R215" s="2" t="str">
        <f t="shared" si="37"/>
        <v/>
      </c>
      <c r="S215" s="2" t="str">
        <f t="shared" si="38"/>
        <v/>
      </c>
      <c r="T215" s="2" t="str">
        <f t="shared" si="39"/>
        <v/>
      </c>
      <c r="U215" s="2" t="str">
        <f t="shared" si="40"/>
        <v/>
      </c>
      <c r="V215" s="2" t="b">
        <f t="shared" si="41"/>
        <v>0</v>
      </c>
      <c r="AA215" s="2" t="str">
        <f t="shared" si="42"/>
        <v/>
      </c>
      <c r="AB215" s="2" t="b">
        <f t="shared" si="43"/>
        <v>0</v>
      </c>
    </row>
    <row r="216" spans="1:28" x14ac:dyDescent="0.3">
      <c r="A216" s="2">
        <v>215</v>
      </c>
      <c r="B216" s="4"/>
      <c r="C216" s="4" t="s">
        <v>41</v>
      </c>
      <c r="D216" s="3"/>
      <c r="E216" s="3"/>
      <c r="F216" s="3"/>
      <c r="G216" s="3"/>
      <c r="H216" s="4"/>
      <c r="I216" s="4"/>
      <c r="J216" s="4"/>
      <c r="K216" s="4"/>
      <c r="L216" s="4"/>
      <c r="M216" s="4"/>
      <c r="N216" s="2" t="str">
        <f t="shared" si="33"/>
        <v/>
      </c>
      <c r="O216" s="2" t="str">
        <f t="shared" si="34"/>
        <v/>
      </c>
      <c r="P216" s="2" t="str">
        <f t="shared" si="35"/>
        <v/>
      </c>
      <c r="Q216" s="2" t="str">
        <f t="shared" si="36"/>
        <v/>
      </c>
      <c r="R216" s="2" t="str">
        <f t="shared" si="37"/>
        <v/>
      </c>
      <c r="S216" s="2" t="str">
        <f t="shared" si="38"/>
        <v/>
      </c>
      <c r="T216" s="2" t="str">
        <f t="shared" si="39"/>
        <v/>
      </c>
      <c r="U216" s="2" t="str">
        <f t="shared" si="40"/>
        <v/>
      </c>
      <c r="V216" s="2" t="b">
        <f t="shared" si="41"/>
        <v>0</v>
      </c>
      <c r="AA216" s="2" t="str">
        <f t="shared" si="42"/>
        <v/>
      </c>
      <c r="AB216" s="2" t="b">
        <f t="shared" si="43"/>
        <v>0</v>
      </c>
    </row>
    <row r="217" spans="1:28" x14ac:dyDescent="0.3">
      <c r="A217" s="2">
        <v>216</v>
      </c>
      <c r="B217" s="4"/>
      <c r="C217" s="4" t="s">
        <v>41</v>
      </c>
      <c r="D217" s="3"/>
      <c r="E217" s="3"/>
      <c r="F217" s="3"/>
      <c r="G217" s="3"/>
      <c r="H217" s="4"/>
      <c r="I217" s="4"/>
      <c r="J217" s="4"/>
      <c r="K217" s="4"/>
      <c r="L217" s="4"/>
      <c r="M217" s="4"/>
      <c r="N217" s="2" t="str">
        <f t="shared" si="33"/>
        <v/>
      </c>
      <c r="O217" s="2" t="str">
        <f t="shared" si="34"/>
        <v/>
      </c>
      <c r="P217" s="2" t="str">
        <f t="shared" si="35"/>
        <v/>
      </c>
      <c r="Q217" s="2" t="str">
        <f t="shared" si="36"/>
        <v/>
      </c>
      <c r="R217" s="2" t="str">
        <f t="shared" si="37"/>
        <v/>
      </c>
      <c r="S217" s="2" t="str">
        <f t="shared" si="38"/>
        <v/>
      </c>
      <c r="T217" s="2" t="str">
        <f t="shared" si="39"/>
        <v/>
      </c>
      <c r="U217" s="2" t="str">
        <f t="shared" si="40"/>
        <v/>
      </c>
      <c r="V217" s="2" t="b">
        <f t="shared" si="41"/>
        <v>0</v>
      </c>
      <c r="AA217" s="2" t="str">
        <f t="shared" si="42"/>
        <v/>
      </c>
      <c r="AB217" s="2" t="b">
        <f t="shared" si="43"/>
        <v>0</v>
      </c>
    </row>
    <row r="218" spans="1:28" x14ac:dyDescent="0.3">
      <c r="A218" s="2">
        <v>217</v>
      </c>
      <c r="B218" s="4"/>
      <c r="C218" s="4" t="s">
        <v>41</v>
      </c>
      <c r="D218" s="3"/>
      <c r="E218" s="3"/>
      <c r="F218" s="3"/>
      <c r="G218" s="3"/>
      <c r="H218" s="4"/>
      <c r="I218" s="4"/>
      <c r="J218" s="4"/>
      <c r="K218" s="4"/>
      <c r="L218" s="4"/>
      <c r="M218" s="4"/>
      <c r="N218" s="2" t="str">
        <f t="shared" si="33"/>
        <v/>
      </c>
      <c r="O218" s="2" t="str">
        <f t="shared" si="34"/>
        <v/>
      </c>
      <c r="P218" s="2" t="str">
        <f t="shared" si="35"/>
        <v/>
      </c>
      <c r="Q218" s="2" t="str">
        <f t="shared" si="36"/>
        <v/>
      </c>
      <c r="R218" s="2" t="str">
        <f t="shared" si="37"/>
        <v/>
      </c>
      <c r="S218" s="2" t="str">
        <f t="shared" si="38"/>
        <v/>
      </c>
      <c r="T218" s="2" t="str">
        <f t="shared" si="39"/>
        <v/>
      </c>
      <c r="U218" s="2" t="str">
        <f t="shared" si="40"/>
        <v/>
      </c>
      <c r="V218" s="2" t="b">
        <f t="shared" si="41"/>
        <v>0</v>
      </c>
      <c r="AA218" s="2" t="str">
        <f t="shared" si="42"/>
        <v/>
      </c>
      <c r="AB218" s="2" t="b">
        <f t="shared" si="43"/>
        <v>0</v>
      </c>
    </row>
    <row r="219" spans="1:28" x14ac:dyDescent="0.3">
      <c r="A219" s="2">
        <v>218</v>
      </c>
      <c r="B219" s="4"/>
      <c r="C219" s="4" t="s">
        <v>41</v>
      </c>
      <c r="D219" s="3"/>
      <c r="E219" s="3"/>
      <c r="F219" s="3"/>
      <c r="G219" s="3"/>
      <c r="H219" s="4"/>
      <c r="I219" s="4"/>
      <c r="J219" s="4"/>
      <c r="K219" s="4"/>
      <c r="L219" s="4"/>
      <c r="M219" s="4"/>
      <c r="N219" s="2" t="str">
        <f t="shared" si="33"/>
        <v/>
      </c>
      <c r="O219" s="2" t="str">
        <f t="shared" si="34"/>
        <v/>
      </c>
      <c r="P219" s="2" t="str">
        <f t="shared" si="35"/>
        <v/>
      </c>
      <c r="Q219" s="2" t="str">
        <f t="shared" si="36"/>
        <v/>
      </c>
      <c r="R219" s="2" t="str">
        <f t="shared" si="37"/>
        <v/>
      </c>
      <c r="S219" s="2" t="str">
        <f t="shared" si="38"/>
        <v/>
      </c>
      <c r="T219" s="2" t="str">
        <f t="shared" si="39"/>
        <v/>
      </c>
      <c r="U219" s="2" t="str">
        <f t="shared" si="40"/>
        <v/>
      </c>
      <c r="V219" s="2" t="b">
        <f t="shared" si="41"/>
        <v>0</v>
      </c>
      <c r="AA219" s="2" t="str">
        <f t="shared" si="42"/>
        <v/>
      </c>
      <c r="AB219" s="2" t="b">
        <f t="shared" si="43"/>
        <v>0</v>
      </c>
    </row>
    <row r="220" spans="1:28" x14ac:dyDescent="0.3">
      <c r="A220" s="2">
        <v>219</v>
      </c>
      <c r="B220" s="4"/>
      <c r="C220" s="4" t="s">
        <v>41</v>
      </c>
      <c r="D220" s="3"/>
      <c r="E220" s="3"/>
      <c r="F220" s="3"/>
      <c r="G220" s="3"/>
      <c r="H220" s="4"/>
      <c r="I220" s="4"/>
      <c r="J220" s="4"/>
      <c r="K220" s="4"/>
      <c r="L220" s="4"/>
      <c r="M220" s="4"/>
      <c r="N220" s="2" t="str">
        <f t="shared" si="33"/>
        <v/>
      </c>
      <c r="O220" s="2" t="str">
        <f t="shared" si="34"/>
        <v/>
      </c>
      <c r="P220" s="2" t="str">
        <f t="shared" si="35"/>
        <v/>
      </c>
      <c r="Q220" s="2" t="str">
        <f t="shared" si="36"/>
        <v/>
      </c>
      <c r="R220" s="2" t="str">
        <f t="shared" si="37"/>
        <v/>
      </c>
      <c r="S220" s="2" t="str">
        <f t="shared" si="38"/>
        <v/>
      </c>
      <c r="T220" s="2" t="str">
        <f t="shared" si="39"/>
        <v/>
      </c>
      <c r="U220" s="2" t="str">
        <f t="shared" si="40"/>
        <v/>
      </c>
      <c r="V220" s="2" t="b">
        <f t="shared" si="41"/>
        <v>0</v>
      </c>
      <c r="AA220" s="2" t="str">
        <f t="shared" si="42"/>
        <v/>
      </c>
      <c r="AB220" s="2" t="b">
        <f t="shared" si="43"/>
        <v>0</v>
      </c>
    </row>
    <row r="221" spans="1:28" x14ac:dyDescent="0.3">
      <c r="A221" s="2">
        <v>220</v>
      </c>
      <c r="B221" s="4"/>
      <c r="C221" s="4" t="s">
        <v>41</v>
      </c>
      <c r="D221" s="3"/>
      <c r="E221" s="3"/>
      <c r="F221" s="3"/>
      <c r="G221" s="3"/>
      <c r="H221" s="4"/>
      <c r="I221" s="4"/>
      <c r="J221" s="4"/>
      <c r="K221" s="4"/>
      <c r="L221" s="4"/>
      <c r="M221" s="4"/>
      <c r="N221" s="2" t="str">
        <f t="shared" si="33"/>
        <v/>
      </c>
      <c r="O221" s="2" t="str">
        <f t="shared" si="34"/>
        <v/>
      </c>
      <c r="P221" s="2" t="str">
        <f t="shared" si="35"/>
        <v/>
      </c>
      <c r="Q221" s="2" t="str">
        <f t="shared" si="36"/>
        <v/>
      </c>
      <c r="R221" s="2" t="str">
        <f t="shared" si="37"/>
        <v/>
      </c>
      <c r="S221" s="2" t="str">
        <f t="shared" si="38"/>
        <v/>
      </c>
      <c r="T221" s="2" t="str">
        <f t="shared" si="39"/>
        <v/>
      </c>
      <c r="U221" s="2" t="str">
        <f t="shared" si="40"/>
        <v/>
      </c>
      <c r="V221" s="2" t="b">
        <f t="shared" si="41"/>
        <v>0</v>
      </c>
      <c r="AA221" s="2" t="str">
        <f t="shared" si="42"/>
        <v/>
      </c>
      <c r="AB221" s="2" t="b">
        <f t="shared" si="43"/>
        <v>0</v>
      </c>
    </row>
    <row r="222" spans="1:28" x14ac:dyDescent="0.3">
      <c r="A222" s="2">
        <v>221</v>
      </c>
      <c r="B222" s="4"/>
      <c r="C222" s="4" t="s">
        <v>41</v>
      </c>
      <c r="D222" s="3"/>
      <c r="E222" s="3"/>
      <c r="F222" s="3"/>
      <c r="G222" s="3"/>
      <c r="H222" s="4"/>
      <c r="I222" s="4"/>
      <c r="J222" s="4"/>
      <c r="K222" s="4"/>
      <c r="L222" s="4"/>
      <c r="M222" s="4"/>
      <c r="N222" s="2" t="str">
        <f t="shared" si="33"/>
        <v/>
      </c>
      <c r="O222" s="2" t="str">
        <f t="shared" si="34"/>
        <v/>
      </c>
      <c r="P222" s="2" t="str">
        <f t="shared" si="35"/>
        <v/>
      </c>
      <c r="Q222" s="2" t="str">
        <f t="shared" si="36"/>
        <v/>
      </c>
      <c r="R222" s="2" t="str">
        <f t="shared" si="37"/>
        <v/>
      </c>
      <c r="S222" s="2" t="str">
        <f t="shared" si="38"/>
        <v/>
      </c>
      <c r="T222" s="2" t="str">
        <f t="shared" si="39"/>
        <v/>
      </c>
      <c r="U222" s="2" t="str">
        <f t="shared" si="40"/>
        <v/>
      </c>
      <c r="V222" s="2" t="b">
        <f t="shared" si="41"/>
        <v>0</v>
      </c>
      <c r="AA222" s="2" t="str">
        <f t="shared" si="42"/>
        <v/>
      </c>
      <c r="AB222" s="2" t="b">
        <f t="shared" si="43"/>
        <v>0</v>
      </c>
    </row>
    <row r="223" spans="1:28" x14ac:dyDescent="0.3">
      <c r="A223" s="2">
        <v>222</v>
      </c>
      <c r="B223" s="4"/>
      <c r="C223" s="4" t="s">
        <v>41</v>
      </c>
      <c r="D223" s="3"/>
      <c r="E223" s="3"/>
      <c r="F223" s="3"/>
      <c r="G223" s="3"/>
      <c r="H223" s="4"/>
      <c r="I223" s="4"/>
      <c r="J223" s="4"/>
      <c r="K223" s="4"/>
      <c r="L223" s="4"/>
      <c r="M223" s="4"/>
      <c r="N223" s="2" t="str">
        <f t="shared" si="33"/>
        <v/>
      </c>
      <c r="O223" s="2" t="str">
        <f t="shared" si="34"/>
        <v/>
      </c>
      <c r="P223" s="2" t="str">
        <f t="shared" si="35"/>
        <v/>
      </c>
      <c r="Q223" s="2" t="str">
        <f t="shared" si="36"/>
        <v/>
      </c>
      <c r="R223" s="2" t="str">
        <f t="shared" si="37"/>
        <v/>
      </c>
      <c r="S223" s="2" t="str">
        <f t="shared" si="38"/>
        <v/>
      </c>
      <c r="T223" s="2" t="str">
        <f t="shared" si="39"/>
        <v/>
      </c>
      <c r="U223" s="2" t="str">
        <f t="shared" si="40"/>
        <v/>
      </c>
      <c r="V223" s="2" t="b">
        <f t="shared" si="41"/>
        <v>0</v>
      </c>
      <c r="AA223" s="2" t="str">
        <f t="shared" si="42"/>
        <v/>
      </c>
      <c r="AB223" s="2" t="b">
        <f t="shared" si="43"/>
        <v>0</v>
      </c>
    </row>
    <row r="224" spans="1:28" x14ac:dyDescent="0.3">
      <c r="A224" s="2">
        <v>223</v>
      </c>
      <c r="B224" s="4"/>
      <c r="C224" s="4" t="s">
        <v>41</v>
      </c>
      <c r="D224" s="3"/>
      <c r="E224" s="3"/>
      <c r="F224" s="3"/>
      <c r="G224" s="3"/>
      <c r="H224" s="4"/>
      <c r="I224" s="4"/>
      <c r="J224" s="4"/>
      <c r="K224" s="4"/>
      <c r="L224" s="4"/>
      <c r="M224" s="4"/>
      <c r="N224" s="2" t="str">
        <f t="shared" si="33"/>
        <v/>
      </c>
      <c r="O224" s="2" t="str">
        <f t="shared" si="34"/>
        <v/>
      </c>
      <c r="P224" s="2" t="str">
        <f t="shared" si="35"/>
        <v/>
      </c>
      <c r="Q224" s="2" t="str">
        <f t="shared" si="36"/>
        <v/>
      </c>
      <c r="R224" s="2" t="str">
        <f t="shared" si="37"/>
        <v/>
      </c>
      <c r="S224" s="2" t="str">
        <f t="shared" si="38"/>
        <v/>
      </c>
      <c r="T224" s="2" t="str">
        <f t="shared" si="39"/>
        <v/>
      </c>
      <c r="U224" s="2" t="str">
        <f t="shared" si="40"/>
        <v/>
      </c>
      <c r="V224" s="2" t="b">
        <f t="shared" si="41"/>
        <v>0</v>
      </c>
      <c r="AA224" s="2" t="str">
        <f t="shared" si="42"/>
        <v/>
      </c>
      <c r="AB224" s="2" t="b">
        <f t="shared" si="43"/>
        <v>0</v>
      </c>
    </row>
    <row r="225" spans="1:28" x14ac:dyDescent="0.3">
      <c r="A225" s="2">
        <v>224</v>
      </c>
      <c r="B225" s="4"/>
      <c r="C225" s="4" t="s">
        <v>41</v>
      </c>
      <c r="D225" s="3"/>
      <c r="E225" s="3"/>
      <c r="F225" s="3"/>
      <c r="G225" s="3"/>
      <c r="H225" s="4"/>
      <c r="I225" s="4"/>
      <c r="J225" s="4"/>
      <c r="K225" s="4"/>
      <c r="L225" s="4"/>
      <c r="M225" s="4"/>
      <c r="N225" s="2" t="str">
        <f t="shared" si="33"/>
        <v/>
      </c>
      <c r="O225" s="2" t="str">
        <f t="shared" si="34"/>
        <v/>
      </c>
      <c r="P225" s="2" t="str">
        <f t="shared" si="35"/>
        <v/>
      </c>
      <c r="Q225" s="2" t="str">
        <f t="shared" si="36"/>
        <v/>
      </c>
      <c r="R225" s="2" t="str">
        <f t="shared" si="37"/>
        <v/>
      </c>
      <c r="S225" s="2" t="str">
        <f t="shared" si="38"/>
        <v/>
      </c>
      <c r="T225" s="2" t="str">
        <f t="shared" si="39"/>
        <v/>
      </c>
      <c r="U225" s="2" t="str">
        <f t="shared" si="40"/>
        <v/>
      </c>
      <c r="V225" s="2" t="b">
        <f t="shared" si="41"/>
        <v>0</v>
      </c>
      <c r="AA225" s="2" t="str">
        <f t="shared" si="42"/>
        <v/>
      </c>
      <c r="AB225" s="2" t="b">
        <f t="shared" si="43"/>
        <v>0</v>
      </c>
    </row>
    <row r="226" spans="1:28" x14ac:dyDescent="0.3">
      <c r="A226" s="2">
        <v>225</v>
      </c>
      <c r="B226" s="4"/>
      <c r="C226" s="4" t="s">
        <v>41</v>
      </c>
      <c r="D226" s="3"/>
      <c r="E226" s="3"/>
      <c r="F226" s="3"/>
      <c r="G226" s="3"/>
      <c r="H226" s="4"/>
      <c r="I226" s="4"/>
      <c r="J226" s="4"/>
      <c r="K226" s="4"/>
      <c r="L226" s="4"/>
      <c r="M226" s="4"/>
      <c r="N226" s="2" t="str">
        <f t="shared" si="33"/>
        <v/>
      </c>
      <c r="O226" s="2" t="str">
        <f t="shared" si="34"/>
        <v/>
      </c>
      <c r="P226" s="2" t="str">
        <f t="shared" si="35"/>
        <v/>
      </c>
      <c r="Q226" s="2" t="str">
        <f t="shared" si="36"/>
        <v/>
      </c>
      <c r="R226" s="2" t="str">
        <f t="shared" si="37"/>
        <v/>
      </c>
      <c r="S226" s="2" t="str">
        <f t="shared" si="38"/>
        <v/>
      </c>
      <c r="T226" s="2" t="str">
        <f t="shared" si="39"/>
        <v/>
      </c>
      <c r="U226" s="2" t="str">
        <f t="shared" si="40"/>
        <v/>
      </c>
      <c r="V226" s="2" t="b">
        <f t="shared" si="41"/>
        <v>0</v>
      </c>
      <c r="AA226" s="2" t="str">
        <f t="shared" si="42"/>
        <v/>
      </c>
      <c r="AB226" s="2" t="b">
        <f t="shared" si="43"/>
        <v>0</v>
      </c>
    </row>
    <row r="227" spans="1:28" x14ac:dyDescent="0.3">
      <c r="A227" s="2">
        <v>226</v>
      </c>
      <c r="B227" s="4"/>
      <c r="C227" s="4" t="s">
        <v>41</v>
      </c>
      <c r="D227" s="3"/>
      <c r="E227" s="3"/>
      <c r="F227" s="3"/>
      <c r="G227" s="3"/>
      <c r="H227" s="4"/>
      <c r="I227" s="4"/>
      <c r="J227" s="4"/>
      <c r="K227" s="4"/>
      <c r="L227" s="4"/>
      <c r="M227" s="4"/>
      <c r="N227" s="2" t="str">
        <f t="shared" si="33"/>
        <v/>
      </c>
      <c r="O227" s="2" t="str">
        <f t="shared" si="34"/>
        <v/>
      </c>
      <c r="P227" s="2" t="str">
        <f t="shared" si="35"/>
        <v/>
      </c>
      <c r="Q227" s="2" t="str">
        <f t="shared" si="36"/>
        <v/>
      </c>
      <c r="R227" s="2" t="str">
        <f t="shared" si="37"/>
        <v/>
      </c>
      <c r="S227" s="2" t="str">
        <f t="shared" si="38"/>
        <v/>
      </c>
      <c r="T227" s="2" t="str">
        <f t="shared" si="39"/>
        <v/>
      </c>
      <c r="U227" s="2" t="str">
        <f t="shared" si="40"/>
        <v/>
      </c>
      <c r="V227" s="2" t="b">
        <f t="shared" si="41"/>
        <v>0</v>
      </c>
      <c r="AA227" s="2" t="str">
        <f t="shared" si="42"/>
        <v/>
      </c>
      <c r="AB227" s="2" t="b">
        <f t="shared" si="43"/>
        <v>0</v>
      </c>
    </row>
    <row r="228" spans="1:28" x14ac:dyDescent="0.3">
      <c r="A228" s="2">
        <v>227</v>
      </c>
      <c r="B228" s="4"/>
      <c r="C228" s="4" t="s">
        <v>41</v>
      </c>
      <c r="D228" s="3"/>
      <c r="E228" s="3"/>
      <c r="F228" s="3"/>
      <c r="G228" s="3"/>
      <c r="H228" s="4"/>
      <c r="I228" s="4"/>
      <c r="J228" s="4"/>
      <c r="K228" s="4"/>
      <c r="L228" s="4"/>
      <c r="M228" s="4"/>
      <c r="N228" s="2" t="str">
        <f t="shared" si="33"/>
        <v/>
      </c>
      <c r="O228" s="2" t="str">
        <f t="shared" si="34"/>
        <v/>
      </c>
      <c r="P228" s="2" t="str">
        <f t="shared" si="35"/>
        <v/>
      </c>
      <c r="Q228" s="2" t="str">
        <f t="shared" si="36"/>
        <v/>
      </c>
      <c r="R228" s="2" t="str">
        <f t="shared" si="37"/>
        <v/>
      </c>
      <c r="S228" s="2" t="str">
        <f t="shared" si="38"/>
        <v/>
      </c>
      <c r="T228" s="2" t="str">
        <f t="shared" si="39"/>
        <v/>
      </c>
      <c r="U228" s="2" t="str">
        <f t="shared" si="40"/>
        <v/>
      </c>
      <c r="V228" s="2" t="b">
        <f t="shared" si="41"/>
        <v>0</v>
      </c>
      <c r="AA228" s="2" t="str">
        <f t="shared" si="42"/>
        <v/>
      </c>
      <c r="AB228" s="2" t="b">
        <f t="shared" si="43"/>
        <v>0</v>
      </c>
    </row>
    <row r="229" spans="1:28" x14ac:dyDescent="0.3">
      <c r="A229" s="2">
        <v>228</v>
      </c>
      <c r="B229" s="4"/>
      <c r="C229" s="4" t="s">
        <v>41</v>
      </c>
      <c r="D229" s="3"/>
      <c r="E229" s="3"/>
      <c r="F229" s="3"/>
      <c r="G229" s="3"/>
      <c r="H229" s="4"/>
      <c r="I229" s="4"/>
      <c r="J229" s="4"/>
      <c r="K229" s="4"/>
      <c r="L229" s="4"/>
      <c r="M229" s="4"/>
      <c r="N229" s="2" t="str">
        <f t="shared" si="33"/>
        <v/>
      </c>
      <c r="O229" s="2" t="str">
        <f t="shared" si="34"/>
        <v/>
      </c>
      <c r="P229" s="2" t="str">
        <f t="shared" si="35"/>
        <v/>
      </c>
      <c r="Q229" s="2" t="str">
        <f t="shared" si="36"/>
        <v/>
      </c>
      <c r="R229" s="2" t="str">
        <f t="shared" si="37"/>
        <v/>
      </c>
      <c r="S229" s="2" t="str">
        <f t="shared" si="38"/>
        <v/>
      </c>
      <c r="T229" s="2" t="str">
        <f t="shared" si="39"/>
        <v/>
      </c>
      <c r="U229" s="2" t="str">
        <f t="shared" si="40"/>
        <v/>
      </c>
      <c r="V229" s="2" t="b">
        <f t="shared" si="41"/>
        <v>0</v>
      </c>
      <c r="AA229" s="2" t="str">
        <f t="shared" si="42"/>
        <v/>
      </c>
      <c r="AB229" s="2" t="b">
        <f t="shared" si="43"/>
        <v>0</v>
      </c>
    </row>
    <row r="230" spans="1:28" x14ac:dyDescent="0.3">
      <c r="A230" s="2">
        <v>229</v>
      </c>
      <c r="B230" s="4"/>
      <c r="C230" s="4" t="s">
        <v>41</v>
      </c>
      <c r="D230" s="3"/>
      <c r="E230" s="3"/>
      <c r="F230" s="3"/>
      <c r="G230" s="3"/>
      <c r="H230" s="4"/>
      <c r="I230" s="4"/>
      <c r="J230" s="4"/>
      <c r="K230" s="4"/>
      <c r="L230" s="4"/>
      <c r="M230" s="4"/>
      <c r="N230" s="2" t="str">
        <f t="shared" si="33"/>
        <v/>
      </c>
      <c r="O230" s="2" t="str">
        <f t="shared" si="34"/>
        <v/>
      </c>
      <c r="P230" s="2" t="str">
        <f t="shared" si="35"/>
        <v/>
      </c>
      <c r="Q230" s="2" t="str">
        <f t="shared" si="36"/>
        <v/>
      </c>
      <c r="R230" s="2" t="str">
        <f t="shared" si="37"/>
        <v/>
      </c>
      <c r="S230" s="2" t="str">
        <f t="shared" si="38"/>
        <v/>
      </c>
      <c r="T230" s="2" t="str">
        <f t="shared" si="39"/>
        <v/>
      </c>
      <c r="U230" s="2" t="str">
        <f t="shared" si="40"/>
        <v/>
      </c>
      <c r="V230" s="2" t="b">
        <f t="shared" si="41"/>
        <v>0</v>
      </c>
      <c r="AA230" s="2" t="str">
        <f t="shared" si="42"/>
        <v/>
      </c>
      <c r="AB230" s="2" t="b">
        <f t="shared" si="43"/>
        <v>0</v>
      </c>
    </row>
    <row r="231" spans="1:28" x14ac:dyDescent="0.3">
      <c r="A231" s="2">
        <v>230</v>
      </c>
      <c r="B231" s="4"/>
      <c r="C231" s="4" t="s">
        <v>41</v>
      </c>
      <c r="D231" s="3"/>
      <c r="E231" s="3"/>
      <c r="F231" s="3"/>
      <c r="G231" s="3"/>
      <c r="H231" s="4"/>
      <c r="I231" s="4"/>
      <c r="J231" s="4"/>
      <c r="K231" s="4"/>
      <c r="L231" s="4"/>
      <c r="M231" s="4"/>
      <c r="N231" s="2" t="str">
        <f t="shared" si="33"/>
        <v/>
      </c>
      <c r="O231" s="2" t="str">
        <f t="shared" si="34"/>
        <v/>
      </c>
      <c r="P231" s="2" t="str">
        <f t="shared" si="35"/>
        <v/>
      </c>
      <c r="Q231" s="2" t="str">
        <f t="shared" si="36"/>
        <v/>
      </c>
      <c r="R231" s="2" t="str">
        <f t="shared" si="37"/>
        <v/>
      </c>
      <c r="S231" s="2" t="str">
        <f t="shared" si="38"/>
        <v/>
      </c>
      <c r="T231" s="2" t="str">
        <f t="shared" si="39"/>
        <v/>
      </c>
      <c r="U231" s="2" t="str">
        <f t="shared" si="40"/>
        <v/>
      </c>
      <c r="V231" s="2" t="b">
        <f t="shared" si="41"/>
        <v>0</v>
      </c>
      <c r="AA231" s="2" t="str">
        <f t="shared" si="42"/>
        <v/>
      </c>
      <c r="AB231" s="2" t="b">
        <f t="shared" si="43"/>
        <v>0</v>
      </c>
    </row>
    <row r="232" spans="1:28" x14ac:dyDescent="0.3">
      <c r="A232" s="2">
        <v>231</v>
      </c>
      <c r="B232" s="4"/>
      <c r="C232" s="4" t="s">
        <v>41</v>
      </c>
      <c r="D232" s="3"/>
      <c r="E232" s="3"/>
      <c r="F232" s="3"/>
      <c r="G232" s="3"/>
      <c r="H232" s="4"/>
      <c r="I232" s="4"/>
      <c r="J232" s="4"/>
      <c r="K232" s="4"/>
      <c r="L232" s="4"/>
      <c r="M232" s="4"/>
      <c r="N232" s="2" t="str">
        <f t="shared" si="33"/>
        <v/>
      </c>
      <c r="O232" s="2" t="str">
        <f t="shared" si="34"/>
        <v/>
      </c>
      <c r="P232" s="2" t="str">
        <f t="shared" si="35"/>
        <v/>
      </c>
      <c r="Q232" s="2" t="str">
        <f t="shared" si="36"/>
        <v/>
      </c>
      <c r="R232" s="2" t="str">
        <f t="shared" si="37"/>
        <v/>
      </c>
      <c r="S232" s="2" t="str">
        <f t="shared" si="38"/>
        <v/>
      </c>
      <c r="T232" s="2" t="str">
        <f t="shared" si="39"/>
        <v/>
      </c>
      <c r="U232" s="2" t="str">
        <f t="shared" si="40"/>
        <v/>
      </c>
      <c r="V232" s="2" t="b">
        <f t="shared" si="41"/>
        <v>0</v>
      </c>
      <c r="AA232" s="2" t="str">
        <f t="shared" si="42"/>
        <v/>
      </c>
      <c r="AB232" s="2" t="b">
        <f t="shared" si="43"/>
        <v>0</v>
      </c>
    </row>
    <row r="233" spans="1:28" x14ac:dyDescent="0.3">
      <c r="A233" s="2">
        <v>232</v>
      </c>
      <c r="B233" s="4"/>
      <c r="C233" s="4" t="s">
        <v>41</v>
      </c>
      <c r="D233" s="3"/>
      <c r="E233" s="3"/>
      <c r="F233" s="3"/>
      <c r="G233" s="3"/>
      <c r="H233" s="4"/>
      <c r="I233" s="4"/>
      <c r="J233" s="4"/>
      <c r="K233" s="4"/>
      <c r="L233" s="4"/>
      <c r="M233" s="4"/>
      <c r="N233" s="2" t="str">
        <f t="shared" si="33"/>
        <v/>
      </c>
      <c r="O233" s="2" t="str">
        <f t="shared" si="34"/>
        <v/>
      </c>
      <c r="P233" s="2" t="str">
        <f t="shared" si="35"/>
        <v/>
      </c>
      <c r="Q233" s="2" t="str">
        <f t="shared" si="36"/>
        <v/>
      </c>
      <c r="R233" s="2" t="str">
        <f t="shared" si="37"/>
        <v/>
      </c>
      <c r="S233" s="2" t="str">
        <f t="shared" si="38"/>
        <v/>
      </c>
      <c r="T233" s="2" t="str">
        <f t="shared" si="39"/>
        <v/>
      </c>
      <c r="U233" s="2" t="str">
        <f t="shared" si="40"/>
        <v/>
      </c>
      <c r="V233" s="2" t="b">
        <f t="shared" si="41"/>
        <v>0</v>
      </c>
      <c r="AA233" s="2" t="str">
        <f t="shared" si="42"/>
        <v/>
      </c>
      <c r="AB233" s="2" t="b">
        <f t="shared" si="43"/>
        <v>0</v>
      </c>
    </row>
    <row r="234" spans="1:28" x14ac:dyDescent="0.3">
      <c r="A234" s="2">
        <v>233</v>
      </c>
      <c r="B234" s="4"/>
      <c r="C234" s="4" t="s">
        <v>41</v>
      </c>
      <c r="D234" s="3"/>
      <c r="E234" s="3"/>
      <c r="F234" s="3"/>
      <c r="G234" s="3"/>
      <c r="H234" s="4"/>
      <c r="I234" s="4"/>
      <c r="J234" s="4"/>
      <c r="K234" s="4"/>
      <c r="L234" s="4"/>
      <c r="M234" s="4"/>
      <c r="N234" s="2" t="str">
        <f t="shared" si="33"/>
        <v/>
      </c>
      <c r="O234" s="2" t="str">
        <f t="shared" si="34"/>
        <v/>
      </c>
      <c r="P234" s="2" t="str">
        <f t="shared" si="35"/>
        <v/>
      </c>
      <c r="Q234" s="2" t="str">
        <f t="shared" si="36"/>
        <v/>
      </c>
      <c r="R234" s="2" t="str">
        <f t="shared" si="37"/>
        <v/>
      </c>
      <c r="S234" s="2" t="str">
        <f t="shared" si="38"/>
        <v/>
      </c>
      <c r="T234" s="2" t="str">
        <f t="shared" si="39"/>
        <v/>
      </c>
      <c r="U234" s="2" t="str">
        <f t="shared" si="40"/>
        <v/>
      </c>
      <c r="V234" s="2" t="b">
        <f t="shared" si="41"/>
        <v>0</v>
      </c>
      <c r="AA234" s="2" t="str">
        <f t="shared" si="42"/>
        <v/>
      </c>
      <c r="AB234" s="2" t="b">
        <f t="shared" si="43"/>
        <v>0</v>
      </c>
    </row>
    <row r="235" spans="1:28" x14ac:dyDescent="0.3">
      <c r="A235" s="2">
        <v>234</v>
      </c>
      <c r="B235" s="4"/>
      <c r="C235" s="4" t="s">
        <v>41</v>
      </c>
      <c r="D235" s="3"/>
      <c r="E235" s="3"/>
      <c r="F235" s="3"/>
      <c r="G235" s="3"/>
      <c r="H235" s="4"/>
      <c r="I235" s="4"/>
      <c r="J235" s="4"/>
      <c r="K235" s="4"/>
      <c r="L235" s="4"/>
      <c r="M235" s="4"/>
      <c r="N235" s="2" t="str">
        <f t="shared" si="33"/>
        <v/>
      </c>
      <c r="O235" s="2" t="str">
        <f t="shared" si="34"/>
        <v/>
      </c>
      <c r="P235" s="2" t="str">
        <f t="shared" si="35"/>
        <v/>
      </c>
      <c r="Q235" s="2" t="str">
        <f t="shared" si="36"/>
        <v/>
      </c>
      <c r="R235" s="2" t="str">
        <f t="shared" si="37"/>
        <v/>
      </c>
      <c r="S235" s="2" t="str">
        <f t="shared" si="38"/>
        <v/>
      </c>
      <c r="T235" s="2" t="str">
        <f t="shared" si="39"/>
        <v/>
      </c>
      <c r="U235" s="2" t="str">
        <f t="shared" si="40"/>
        <v/>
      </c>
      <c r="V235" s="2" t="b">
        <f t="shared" si="41"/>
        <v>0</v>
      </c>
      <c r="AA235" s="2" t="str">
        <f t="shared" si="42"/>
        <v/>
      </c>
      <c r="AB235" s="2" t="b">
        <f t="shared" si="43"/>
        <v>0</v>
      </c>
    </row>
    <row r="236" spans="1:28" x14ac:dyDescent="0.3">
      <c r="A236" s="2">
        <v>235</v>
      </c>
      <c r="B236" s="4"/>
      <c r="C236" s="4" t="s">
        <v>41</v>
      </c>
      <c r="D236" s="3"/>
      <c r="E236" s="3"/>
      <c r="F236" s="3"/>
      <c r="G236" s="3"/>
      <c r="H236" s="4"/>
      <c r="I236" s="4"/>
      <c r="J236" s="4"/>
      <c r="K236" s="4"/>
      <c r="L236" s="4"/>
      <c r="M236" s="4"/>
      <c r="N236" s="2" t="str">
        <f t="shared" si="33"/>
        <v/>
      </c>
      <c r="O236" s="2" t="str">
        <f t="shared" si="34"/>
        <v/>
      </c>
      <c r="P236" s="2" t="str">
        <f t="shared" si="35"/>
        <v/>
      </c>
      <c r="Q236" s="2" t="str">
        <f t="shared" si="36"/>
        <v/>
      </c>
      <c r="R236" s="2" t="str">
        <f t="shared" si="37"/>
        <v/>
      </c>
      <c r="S236" s="2" t="str">
        <f t="shared" si="38"/>
        <v/>
      </c>
      <c r="T236" s="2" t="str">
        <f t="shared" si="39"/>
        <v/>
      </c>
      <c r="U236" s="2" t="str">
        <f t="shared" si="40"/>
        <v/>
      </c>
      <c r="V236" s="2" t="b">
        <f t="shared" si="41"/>
        <v>0</v>
      </c>
      <c r="AA236" s="2" t="str">
        <f t="shared" si="42"/>
        <v/>
      </c>
      <c r="AB236" s="2" t="b">
        <f t="shared" si="43"/>
        <v>0</v>
      </c>
    </row>
    <row r="237" spans="1:28" x14ac:dyDescent="0.3">
      <c r="A237" s="2">
        <v>236</v>
      </c>
      <c r="B237" s="4"/>
      <c r="C237" s="4" t="s">
        <v>41</v>
      </c>
      <c r="D237" s="3"/>
      <c r="E237" s="3"/>
      <c r="F237" s="3"/>
      <c r="G237" s="3"/>
      <c r="H237" s="4"/>
      <c r="I237" s="4"/>
      <c r="J237" s="4"/>
      <c r="K237" s="4"/>
      <c r="L237" s="4"/>
      <c r="M237" s="4"/>
      <c r="N237" s="2" t="str">
        <f t="shared" si="33"/>
        <v/>
      </c>
      <c r="O237" s="2" t="str">
        <f t="shared" si="34"/>
        <v/>
      </c>
      <c r="P237" s="2" t="str">
        <f t="shared" si="35"/>
        <v/>
      </c>
      <c r="Q237" s="2" t="str">
        <f t="shared" si="36"/>
        <v/>
      </c>
      <c r="R237" s="2" t="str">
        <f t="shared" si="37"/>
        <v/>
      </c>
      <c r="S237" s="2" t="str">
        <f t="shared" si="38"/>
        <v/>
      </c>
      <c r="T237" s="2" t="str">
        <f t="shared" si="39"/>
        <v/>
      </c>
      <c r="U237" s="2" t="str">
        <f t="shared" si="40"/>
        <v/>
      </c>
      <c r="V237" s="2" t="b">
        <f t="shared" si="41"/>
        <v>0</v>
      </c>
      <c r="AA237" s="2" t="str">
        <f t="shared" si="42"/>
        <v/>
      </c>
      <c r="AB237" s="2" t="b">
        <f t="shared" si="43"/>
        <v>0</v>
      </c>
    </row>
    <row r="238" spans="1:28" x14ac:dyDescent="0.3">
      <c r="A238" s="2">
        <v>237</v>
      </c>
      <c r="B238" s="4"/>
      <c r="C238" s="4" t="s">
        <v>41</v>
      </c>
      <c r="D238" s="3"/>
      <c r="E238" s="3"/>
      <c r="F238" s="3"/>
      <c r="G238" s="3"/>
      <c r="H238" s="4"/>
      <c r="I238" s="4"/>
      <c r="J238" s="4"/>
      <c r="K238" s="4"/>
      <c r="L238" s="4"/>
      <c r="M238" s="4"/>
      <c r="N238" s="2" t="str">
        <f t="shared" si="33"/>
        <v/>
      </c>
      <c r="O238" s="2" t="str">
        <f t="shared" si="34"/>
        <v/>
      </c>
      <c r="P238" s="2" t="str">
        <f t="shared" si="35"/>
        <v/>
      </c>
      <c r="Q238" s="2" t="str">
        <f t="shared" si="36"/>
        <v/>
      </c>
      <c r="R238" s="2" t="str">
        <f t="shared" si="37"/>
        <v/>
      </c>
      <c r="S238" s="2" t="str">
        <f t="shared" si="38"/>
        <v/>
      </c>
      <c r="T238" s="2" t="str">
        <f t="shared" si="39"/>
        <v/>
      </c>
      <c r="U238" s="2" t="str">
        <f t="shared" si="40"/>
        <v/>
      </c>
      <c r="V238" s="2" t="b">
        <f t="shared" si="41"/>
        <v>0</v>
      </c>
      <c r="AA238" s="2" t="str">
        <f t="shared" si="42"/>
        <v/>
      </c>
      <c r="AB238" s="2" t="b">
        <f t="shared" si="43"/>
        <v>0</v>
      </c>
    </row>
    <row r="239" spans="1:28" x14ac:dyDescent="0.3">
      <c r="A239" s="2">
        <v>238</v>
      </c>
      <c r="B239" s="4"/>
      <c r="C239" s="4" t="s">
        <v>41</v>
      </c>
      <c r="D239" s="3"/>
      <c r="E239" s="3"/>
      <c r="F239" s="3"/>
      <c r="G239" s="3"/>
      <c r="H239" s="4"/>
      <c r="I239" s="4"/>
      <c r="J239" s="4"/>
      <c r="K239" s="4"/>
      <c r="L239" s="4"/>
      <c r="M239" s="4"/>
      <c r="N239" s="2" t="str">
        <f t="shared" si="33"/>
        <v/>
      </c>
      <c r="O239" s="2" t="str">
        <f t="shared" si="34"/>
        <v/>
      </c>
      <c r="P239" s="2" t="str">
        <f t="shared" si="35"/>
        <v/>
      </c>
      <c r="Q239" s="2" t="str">
        <f t="shared" si="36"/>
        <v/>
      </c>
      <c r="R239" s="2" t="str">
        <f t="shared" si="37"/>
        <v/>
      </c>
      <c r="S239" s="2" t="str">
        <f t="shared" si="38"/>
        <v/>
      </c>
      <c r="T239" s="2" t="str">
        <f t="shared" si="39"/>
        <v/>
      </c>
      <c r="U239" s="2" t="str">
        <f t="shared" si="40"/>
        <v/>
      </c>
      <c r="V239" s="2" t="b">
        <f t="shared" si="41"/>
        <v>0</v>
      </c>
      <c r="AA239" s="2" t="str">
        <f t="shared" si="42"/>
        <v/>
      </c>
      <c r="AB239" s="2" t="b">
        <f t="shared" si="43"/>
        <v>0</v>
      </c>
    </row>
    <row r="240" spans="1:28" x14ac:dyDescent="0.3">
      <c r="A240" s="2">
        <v>239</v>
      </c>
      <c r="B240" s="4"/>
      <c r="C240" s="4" t="s">
        <v>41</v>
      </c>
      <c r="D240" s="3"/>
      <c r="E240" s="3"/>
      <c r="F240" s="3"/>
      <c r="G240" s="3"/>
      <c r="H240" s="4"/>
      <c r="I240" s="4"/>
      <c r="J240" s="4"/>
      <c r="K240" s="4"/>
      <c r="L240" s="4"/>
      <c r="M240" s="4"/>
      <c r="N240" s="2" t="str">
        <f t="shared" si="33"/>
        <v/>
      </c>
      <c r="O240" s="2" t="str">
        <f t="shared" si="34"/>
        <v/>
      </c>
      <c r="P240" s="2" t="str">
        <f t="shared" si="35"/>
        <v/>
      </c>
      <c r="Q240" s="2" t="str">
        <f t="shared" si="36"/>
        <v/>
      </c>
      <c r="R240" s="2" t="str">
        <f t="shared" si="37"/>
        <v/>
      </c>
      <c r="S240" s="2" t="str">
        <f t="shared" si="38"/>
        <v/>
      </c>
      <c r="T240" s="2" t="str">
        <f t="shared" si="39"/>
        <v/>
      </c>
      <c r="U240" s="2" t="str">
        <f t="shared" si="40"/>
        <v/>
      </c>
      <c r="V240" s="2" t="b">
        <f t="shared" si="41"/>
        <v>0</v>
      </c>
      <c r="AA240" s="2" t="str">
        <f t="shared" si="42"/>
        <v/>
      </c>
      <c r="AB240" s="2" t="b">
        <f t="shared" si="43"/>
        <v>0</v>
      </c>
    </row>
    <row r="241" spans="1:28" x14ac:dyDescent="0.3">
      <c r="A241" s="2">
        <v>240</v>
      </c>
      <c r="B241" s="4"/>
      <c r="C241" s="4" t="s">
        <v>41</v>
      </c>
      <c r="D241" s="3"/>
      <c r="E241" s="3"/>
      <c r="F241" s="3"/>
      <c r="G241" s="3"/>
      <c r="H241" s="4"/>
      <c r="I241" s="4"/>
      <c r="J241" s="4"/>
      <c r="K241" s="4"/>
      <c r="L241" s="4"/>
      <c r="M241" s="4"/>
      <c r="N241" s="2" t="str">
        <f t="shared" si="33"/>
        <v/>
      </c>
      <c r="O241" s="2" t="str">
        <f t="shared" si="34"/>
        <v/>
      </c>
      <c r="P241" s="2" t="str">
        <f t="shared" si="35"/>
        <v/>
      </c>
      <c r="Q241" s="2" t="str">
        <f t="shared" si="36"/>
        <v/>
      </c>
      <c r="R241" s="2" t="str">
        <f t="shared" si="37"/>
        <v/>
      </c>
      <c r="S241" s="2" t="str">
        <f t="shared" si="38"/>
        <v/>
      </c>
      <c r="T241" s="2" t="str">
        <f t="shared" si="39"/>
        <v/>
      </c>
      <c r="U241" s="2" t="str">
        <f t="shared" si="40"/>
        <v/>
      </c>
      <c r="V241" s="2" t="b">
        <f t="shared" si="41"/>
        <v>0</v>
      </c>
      <c r="AA241" s="2" t="str">
        <f t="shared" si="42"/>
        <v/>
      </c>
      <c r="AB241" s="2" t="b">
        <f t="shared" si="43"/>
        <v>0</v>
      </c>
    </row>
    <row r="242" spans="1:28" x14ac:dyDescent="0.3">
      <c r="A242" s="2">
        <v>241</v>
      </c>
      <c r="B242" s="4"/>
      <c r="C242" s="4" t="s">
        <v>41</v>
      </c>
      <c r="D242" s="3"/>
      <c r="E242" s="3"/>
      <c r="F242" s="3"/>
      <c r="G242" s="3"/>
      <c r="H242" s="4"/>
      <c r="I242" s="4"/>
      <c r="J242" s="4"/>
      <c r="K242" s="4"/>
      <c r="L242" s="4"/>
      <c r="M242" s="4"/>
      <c r="N242" s="2" t="str">
        <f t="shared" si="33"/>
        <v/>
      </c>
      <c r="O242" s="2" t="str">
        <f t="shared" si="34"/>
        <v/>
      </c>
      <c r="P242" s="2" t="str">
        <f t="shared" si="35"/>
        <v/>
      </c>
      <c r="Q242" s="2" t="str">
        <f t="shared" si="36"/>
        <v/>
      </c>
      <c r="R242" s="2" t="str">
        <f t="shared" si="37"/>
        <v/>
      </c>
      <c r="S242" s="2" t="str">
        <f t="shared" si="38"/>
        <v/>
      </c>
      <c r="T242" s="2" t="str">
        <f t="shared" si="39"/>
        <v/>
      </c>
      <c r="U242" s="2" t="str">
        <f t="shared" si="40"/>
        <v/>
      </c>
      <c r="V242" s="2" t="b">
        <f t="shared" si="41"/>
        <v>0</v>
      </c>
      <c r="AA242" s="2" t="str">
        <f t="shared" si="42"/>
        <v/>
      </c>
      <c r="AB242" s="2" t="b">
        <f t="shared" si="43"/>
        <v>0</v>
      </c>
    </row>
    <row r="243" spans="1:28" x14ac:dyDescent="0.3">
      <c r="A243" s="2">
        <v>242</v>
      </c>
      <c r="B243" s="4"/>
      <c r="C243" s="4" t="s">
        <v>41</v>
      </c>
      <c r="D243" s="3"/>
      <c r="E243" s="3"/>
      <c r="F243" s="3"/>
      <c r="G243" s="3"/>
      <c r="H243" s="4"/>
      <c r="I243" s="4"/>
      <c r="J243" s="4"/>
      <c r="K243" s="4"/>
      <c r="L243" s="4"/>
      <c r="M243" s="4"/>
      <c r="N243" s="2" t="str">
        <f t="shared" si="33"/>
        <v/>
      </c>
      <c r="O243" s="2" t="str">
        <f t="shared" si="34"/>
        <v/>
      </c>
      <c r="P243" s="2" t="str">
        <f t="shared" si="35"/>
        <v/>
      </c>
      <c r="Q243" s="2" t="str">
        <f t="shared" si="36"/>
        <v/>
      </c>
      <c r="R243" s="2" t="str">
        <f t="shared" si="37"/>
        <v/>
      </c>
      <c r="S243" s="2" t="str">
        <f t="shared" si="38"/>
        <v/>
      </c>
      <c r="T243" s="2" t="str">
        <f t="shared" si="39"/>
        <v/>
      </c>
      <c r="U243" s="2" t="str">
        <f t="shared" si="40"/>
        <v/>
      </c>
      <c r="V243" s="2" t="b">
        <f t="shared" si="41"/>
        <v>0</v>
      </c>
      <c r="AA243" s="2" t="str">
        <f t="shared" si="42"/>
        <v/>
      </c>
      <c r="AB243" s="2" t="b">
        <f t="shared" si="43"/>
        <v>0</v>
      </c>
    </row>
    <row r="244" spans="1:28" x14ac:dyDescent="0.3">
      <c r="A244" s="2">
        <v>243</v>
      </c>
      <c r="B244" s="4"/>
      <c r="C244" s="4" t="s">
        <v>41</v>
      </c>
      <c r="D244" s="3"/>
      <c r="E244" s="3"/>
      <c r="F244" s="3"/>
      <c r="G244" s="3"/>
      <c r="H244" s="4"/>
      <c r="I244" s="4"/>
      <c r="J244" s="4"/>
      <c r="K244" s="4"/>
      <c r="L244" s="4"/>
      <c r="M244" s="4"/>
      <c r="N244" s="2" t="str">
        <f t="shared" si="33"/>
        <v/>
      </c>
      <c r="O244" s="2" t="str">
        <f t="shared" si="34"/>
        <v/>
      </c>
      <c r="P244" s="2" t="str">
        <f t="shared" si="35"/>
        <v/>
      </c>
      <c r="Q244" s="2" t="str">
        <f t="shared" si="36"/>
        <v/>
      </c>
      <c r="R244" s="2" t="str">
        <f t="shared" si="37"/>
        <v/>
      </c>
      <c r="S244" s="2" t="str">
        <f t="shared" si="38"/>
        <v/>
      </c>
      <c r="T244" s="2" t="str">
        <f t="shared" si="39"/>
        <v/>
      </c>
      <c r="U244" s="2" t="str">
        <f t="shared" si="40"/>
        <v/>
      </c>
      <c r="V244" s="2" t="b">
        <f t="shared" si="41"/>
        <v>0</v>
      </c>
      <c r="AA244" s="2" t="str">
        <f t="shared" si="42"/>
        <v/>
      </c>
      <c r="AB244" s="2" t="b">
        <f t="shared" si="43"/>
        <v>0</v>
      </c>
    </row>
    <row r="245" spans="1:28" x14ac:dyDescent="0.3">
      <c r="A245" s="2">
        <v>244</v>
      </c>
      <c r="B245" s="4"/>
      <c r="C245" s="4" t="s">
        <v>41</v>
      </c>
      <c r="D245" s="3"/>
      <c r="E245" s="3"/>
      <c r="F245" s="3"/>
      <c r="G245" s="3"/>
      <c r="H245" s="4"/>
      <c r="I245" s="4"/>
      <c r="J245" s="4"/>
      <c r="K245" s="4"/>
      <c r="L245" s="4"/>
      <c r="M245" s="4"/>
      <c r="N245" s="2" t="str">
        <f t="shared" si="33"/>
        <v/>
      </c>
      <c r="O245" s="2" t="str">
        <f t="shared" si="34"/>
        <v/>
      </c>
      <c r="P245" s="2" t="str">
        <f t="shared" si="35"/>
        <v/>
      </c>
      <c r="Q245" s="2" t="str">
        <f t="shared" si="36"/>
        <v/>
      </c>
      <c r="R245" s="2" t="str">
        <f t="shared" si="37"/>
        <v/>
      </c>
      <c r="S245" s="2" t="str">
        <f t="shared" si="38"/>
        <v/>
      </c>
      <c r="T245" s="2" t="str">
        <f t="shared" si="39"/>
        <v/>
      </c>
      <c r="U245" s="2" t="str">
        <f t="shared" si="40"/>
        <v/>
      </c>
      <c r="V245" s="2" t="b">
        <f t="shared" si="41"/>
        <v>0</v>
      </c>
      <c r="AA245" s="2" t="str">
        <f t="shared" si="42"/>
        <v/>
      </c>
      <c r="AB245" s="2" t="b">
        <f t="shared" si="43"/>
        <v>0</v>
      </c>
    </row>
    <row r="246" spans="1:28" x14ac:dyDescent="0.3">
      <c r="A246" s="2">
        <v>245</v>
      </c>
      <c r="B246" s="4"/>
      <c r="C246" s="4" t="s">
        <v>41</v>
      </c>
      <c r="D246" s="3"/>
      <c r="E246" s="3"/>
      <c r="F246" s="3"/>
      <c r="G246" s="3"/>
      <c r="H246" s="4"/>
      <c r="I246" s="4"/>
      <c r="J246" s="4"/>
      <c r="K246" s="4"/>
      <c r="L246" s="4"/>
      <c r="M246" s="4"/>
      <c r="N246" s="2" t="str">
        <f t="shared" si="33"/>
        <v/>
      </c>
      <c r="O246" s="2" t="str">
        <f t="shared" si="34"/>
        <v/>
      </c>
      <c r="P246" s="2" t="str">
        <f t="shared" si="35"/>
        <v/>
      </c>
      <c r="Q246" s="2" t="str">
        <f t="shared" si="36"/>
        <v/>
      </c>
      <c r="R246" s="2" t="str">
        <f t="shared" si="37"/>
        <v/>
      </c>
      <c r="S246" s="2" t="str">
        <f t="shared" si="38"/>
        <v/>
      </c>
      <c r="T246" s="2" t="str">
        <f t="shared" si="39"/>
        <v/>
      </c>
      <c r="U246" s="2" t="str">
        <f t="shared" si="40"/>
        <v/>
      </c>
      <c r="V246" s="2" t="b">
        <f t="shared" si="41"/>
        <v>0</v>
      </c>
      <c r="AA246" s="2" t="str">
        <f t="shared" si="42"/>
        <v/>
      </c>
      <c r="AB246" s="2" t="b">
        <f t="shared" si="43"/>
        <v>0</v>
      </c>
    </row>
    <row r="247" spans="1:28" x14ac:dyDescent="0.3">
      <c r="A247" s="2">
        <v>246</v>
      </c>
      <c r="B247" s="4"/>
      <c r="C247" s="4" t="s">
        <v>41</v>
      </c>
      <c r="D247" s="3"/>
      <c r="E247" s="3"/>
      <c r="F247" s="3"/>
      <c r="G247" s="3"/>
      <c r="H247" s="4"/>
      <c r="I247" s="4"/>
      <c r="J247" s="4"/>
      <c r="K247" s="4"/>
      <c r="L247" s="4"/>
      <c r="M247" s="4"/>
      <c r="N247" s="2" t="str">
        <f t="shared" si="33"/>
        <v/>
      </c>
      <c r="O247" s="2" t="str">
        <f t="shared" si="34"/>
        <v/>
      </c>
      <c r="P247" s="2" t="str">
        <f t="shared" si="35"/>
        <v/>
      </c>
      <c r="Q247" s="2" t="str">
        <f t="shared" si="36"/>
        <v/>
      </c>
      <c r="R247" s="2" t="str">
        <f t="shared" si="37"/>
        <v/>
      </c>
      <c r="S247" s="2" t="str">
        <f t="shared" si="38"/>
        <v/>
      </c>
      <c r="T247" s="2" t="str">
        <f t="shared" si="39"/>
        <v/>
      </c>
      <c r="U247" s="2" t="str">
        <f t="shared" si="40"/>
        <v/>
      </c>
      <c r="V247" s="2" t="b">
        <f t="shared" si="41"/>
        <v>0</v>
      </c>
      <c r="AA247" s="2" t="str">
        <f t="shared" si="42"/>
        <v/>
      </c>
      <c r="AB247" s="2" t="b">
        <f t="shared" si="43"/>
        <v>0</v>
      </c>
    </row>
    <row r="248" spans="1:28" x14ac:dyDescent="0.3">
      <c r="A248" s="2">
        <v>247</v>
      </c>
      <c r="B248" s="4"/>
      <c r="C248" s="4" t="s">
        <v>41</v>
      </c>
      <c r="D248" s="3"/>
      <c r="E248" s="3"/>
      <c r="F248" s="3"/>
      <c r="G248" s="3"/>
      <c r="H248" s="4"/>
      <c r="I248" s="4"/>
      <c r="J248" s="4"/>
      <c r="K248" s="4"/>
      <c r="L248" s="4"/>
      <c r="M248" s="4"/>
      <c r="N248" s="2" t="str">
        <f t="shared" si="33"/>
        <v/>
      </c>
      <c r="O248" s="2" t="str">
        <f t="shared" si="34"/>
        <v/>
      </c>
      <c r="P248" s="2" t="str">
        <f t="shared" si="35"/>
        <v/>
      </c>
      <c r="Q248" s="2" t="str">
        <f t="shared" si="36"/>
        <v/>
      </c>
      <c r="R248" s="2" t="str">
        <f t="shared" si="37"/>
        <v/>
      </c>
      <c r="S248" s="2" t="str">
        <f t="shared" si="38"/>
        <v/>
      </c>
      <c r="T248" s="2" t="str">
        <f t="shared" si="39"/>
        <v/>
      </c>
      <c r="U248" s="2" t="str">
        <f t="shared" si="40"/>
        <v/>
      </c>
      <c r="V248" s="2" t="b">
        <f t="shared" si="41"/>
        <v>0</v>
      </c>
      <c r="AA248" s="2" t="str">
        <f t="shared" si="42"/>
        <v/>
      </c>
      <c r="AB248" s="2" t="b">
        <f t="shared" si="43"/>
        <v>0</v>
      </c>
    </row>
    <row r="249" spans="1:28" x14ac:dyDescent="0.3">
      <c r="A249" s="2">
        <v>248</v>
      </c>
      <c r="B249" s="4"/>
      <c r="C249" s="4" t="s">
        <v>41</v>
      </c>
      <c r="D249" s="3"/>
      <c r="E249" s="3"/>
      <c r="F249" s="3"/>
      <c r="G249" s="3"/>
      <c r="H249" s="4"/>
      <c r="I249" s="4"/>
      <c r="J249" s="4"/>
      <c r="K249" s="4"/>
      <c r="L249" s="4"/>
      <c r="M249" s="4"/>
      <c r="N249" s="2" t="str">
        <f t="shared" si="33"/>
        <v/>
      </c>
      <c r="O249" s="2" t="str">
        <f t="shared" si="34"/>
        <v/>
      </c>
      <c r="P249" s="2" t="str">
        <f t="shared" si="35"/>
        <v/>
      </c>
      <c r="Q249" s="2" t="str">
        <f t="shared" si="36"/>
        <v/>
      </c>
      <c r="R249" s="2" t="str">
        <f t="shared" si="37"/>
        <v/>
      </c>
      <c r="S249" s="2" t="str">
        <f t="shared" si="38"/>
        <v/>
      </c>
      <c r="T249" s="2" t="str">
        <f t="shared" si="39"/>
        <v/>
      </c>
      <c r="U249" s="2" t="str">
        <f t="shared" si="40"/>
        <v/>
      </c>
      <c r="V249" s="2" t="b">
        <f t="shared" si="41"/>
        <v>0</v>
      </c>
      <c r="AA249" s="2" t="str">
        <f t="shared" si="42"/>
        <v/>
      </c>
      <c r="AB249" s="2" t="b">
        <f t="shared" si="43"/>
        <v>0</v>
      </c>
    </row>
    <row r="250" spans="1:28" x14ac:dyDescent="0.3">
      <c r="A250" s="2">
        <v>249</v>
      </c>
      <c r="B250" s="4"/>
      <c r="C250" s="4" t="s">
        <v>41</v>
      </c>
      <c r="D250" s="3"/>
      <c r="E250" s="3"/>
      <c r="F250" s="3"/>
      <c r="G250" s="3"/>
      <c r="H250" s="4"/>
      <c r="I250" s="4"/>
      <c r="J250" s="4"/>
      <c r="K250" s="4"/>
      <c r="L250" s="4"/>
      <c r="M250" s="4"/>
      <c r="N250" s="2" t="str">
        <f t="shared" si="33"/>
        <v/>
      </c>
      <c r="O250" s="2" t="str">
        <f t="shared" si="34"/>
        <v/>
      </c>
      <c r="P250" s="2" t="str">
        <f t="shared" si="35"/>
        <v/>
      </c>
      <c r="Q250" s="2" t="str">
        <f t="shared" si="36"/>
        <v/>
      </c>
      <c r="R250" s="2" t="str">
        <f t="shared" si="37"/>
        <v/>
      </c>
      <c r="S250" s="2" t="str">
        <f t="shared" si="38"/>
        <v/>
      </c>
      <c r="T250" s="2" t="str">
        <f t="shared" si="39"/>
        <v/>
      </c>
      <c r="U250" s="2" t="str">
        <f t="shared" si="40"/>
        <v/>
      </c>
      <c r="V250" s="2" t="b">
        <f t="shared" si="41"/>
        <v>0</v>
      </c>
      <c r="AA250" s="2" t="str">
        <f t="shared" si="42"/>
        <v/>
      </c>
      <c r="AB250" s="2" t="b">
        <f t="shared" si="43"/>
        <v>0</v>
      </c>
    </row>
    <row r="251" spans="1:28" x14ac:dyDescent="0.3">
      <c r="A251" s="2">
        <v>250</v>
      </c>
      <c r="B251" s="4"/>
      <c r="C251" s="4" t="s">
        <v>41</v>
      </c>
      <c r="D251" s="3"/>
      <c r="E251" s="3"/>
      <c r="F251" s="3"/>
      <c r="G251" s="3"/>
      <c r="H251" s="4"/>
      <c r="I251" s="4"/>
      <c r="J251" s="4"/>
      <c r="K251" s="4"/>
      <c r="L251" s="4"/>
      <c r="M251" s="4"/>
      <c r="N251" s="2" t="str">
        <f t="shared" si="33"/>
        <v/>
      </c>
      <c r="O251" s="2" t="str">
        <f t="shared" si="34"/>
        <v/>
      </c>
      <c r="P251" s="2" t="str">
        <f t="shared" si="35"/>
        <v/>
      </c>
      <c r="Q251" s="2" t="str">
        <f t="shared" si="36"/>
        <v/>
      </c>
      <c r="R251" s="2" t="str">
        <f t="shared" si="37"/>
        <v/>
      </c>
      <c r="S251" s="2" t="str">
        <f t="shared" si="38"/>
        <v/>
      </c>
      <c r="T251" s="2" t="str">
        <f t="shared" si="39"/>
        <v/>
      </c>
      <c r="U251" s="2" t="str">
        <f t="shared" si="40"/>
        <v/>
      </c>
      <c r="V251" s="2" t="b">
        <f t="shared" si="41"/>
        <v>0</v>
      </c>
      <c r="AA251" s="2" t="str">
        <f t="shared" si="42"/>
        <v/>
      </c>
      <c r="AB251" s="2" t="b">
        <f t="shared" si="43"/>
        <v>0</v>
      </c>
    </row>
    <row r="252" spans="1:28" x14ac:dyDescent="0.3">
      <c r="A252" s="2">
        <v>251</v>
      </c>
      <c r="B252" s="4"/>
      <c r="C252" s="4" t="s">
        <v>41</v>
      </c>
      <c r="D252" s="3"/>
      <c r="E252" s="3"/>
      <c r="F252" s="3"/>
      <c r="G252" s="3"/>
      <c r="H252" s="4"/>
      <c r="I252" s="4"/>
      <c r="J252" s="4"/>
      <c r="K252" s="4"/>
      <c r="L252" s="4"/>
      <c r="M252" s="4"/>
      <c r="N252" s="2" t="str">
        <f t="shared" si="33"/>
        <v/>
      </c>
      <c r="O252" s="2" t="str">
        <f t="shared" si="34"/>
        <v/>
      </c>
      <c r="P252" s="2" t="str">
        <f t="shared" si="35"/>
        <v/>
      </c>
      <c r="Q252" s="2" t="str">
        <f t="shared" si="36"/>
        <v/>
      </c>
      <c r="R252" s="2" t="str">
        <f t="shared" si="37"/>
        <v/>
      </c>
      <c r="S252" s="2" t="str">
        <f t="shared" si="38"/>
        <v/>
      </c>
      <c r="T252" s="2" t="str">
        <f t="shared" si="39"/>
        <v/>
      </c>
      <c r="U252" s="2" t="str">
        <f t="shared" si="40"/>
        <v/>
      </c>
      <c r="V252" s="2" t="b">
        <f t="shared" si="41"/>
        <v>0</v>
      </c>
      <c r="AA252" s="2" t="str">
        <f t="shared" si="42"/>
        <v/>
      </c>
      <c r="AB252" s="2" t="b">
        <f t="shared" si="43"/>
        <v>0</v>
      </c>
    </row>
    <row r="253" spans="1:28" x14ac:dyDescent="0.3">
      <c r="A253" s="2">
        <v>252</v>
      </c>
      <c r="B253" s="4"/>
      <c r="C253" s="4" t="s">
        <v>41</v>
      </c>
      <c r="D253" s="3"/>
      <c r="E253" s="3"/>
      <c r="F253" s="3"/>
      <c r="G253" s="3"/>
      <c r="H253" s="4"/>
      <c r="I253" s="4"/>
      <c r="J253" s="4"/>
      <c r="K253" s="4"/>
      <c r="L253" s="4"/>
      <c r="M253" s="4"/>
      <c r="N253" s="2" t="str">
        <f t="shared" si="33"/>
        <v/>
      </c>
      <c r="O253" s="2" t="str">
        <f t="shared" si="34"/>
        <v/>
      </c>
      <c r="P253" s="2" t="str">
        <f t="shared" si="35"/>
        <v/>
      </c>
      <c r="Q253" s="2" t="str">
        <f t="shared" si="36"/>
        <v/>
      </c>
      <c r="R253" s="2" t="str">
        <f t="shared" si="37"/>
        <v/>
      </c>
      <c r="S253" s="2" t="str">
        <f t="shared" si="38"/>
        <v/>
      </c>
      <c r="T253" s="2" t="str">
        <f t="shared" si="39"/>
        <v/>
      </c>
      <c r="U253" s="2" t="str">
        <f t="shared" si="40"/>
        <v/>
      </c>
      <c r="V253" s="2" t="b">
        <f t="shared" si="41"/>
        <v>0</v>
      </c>
      <c r="AA253" s="2" t="str">
        <f t="shared" si="42"/>
        <v/>
      </c>
      <c r="AB253" s="2" t="b">
        <f t="shared" si="43"/>
        <v>0</v>
      </c>
    </row>
    <row r="254" spans="1:28" x14ac:dyDescent="0.3">
      <c r="A254" s="2">
        <v>253</v>
      </c>
      <c r="B254" s="4"/>
      <c r="C254" s="4" t="s">
        <v>41</v>
      </c>
      <c r="D254" s="3"/>
      <c r="E254" s="3"/>
      <c r="F254" s="3"/>
      <c r="G254" s="3"/>
      <c r="H254" s="4"/>
      <c r="I254" s="4"/>
      <c r="J254" s="4"/>
      <c r="K254" s="4"/>
      <c r="L254" s="4"/>
      <c r="M254" s="4"/>
      <c r="N254" s="2" t="str">
        <f t="shared" si="33"/>
        <v/>
      </c>
      <c r="O254" s="2" t="str">
        <f t="shared" si="34"/>
        <v/>
      </c>
      <c r="P254" s="2" t="str">
        <f t="shared" si="35"/>
        <v/>
      </c>
      <c r="Q254" s="2" t="str">
        <f t="shared" si="36"/>
        <v/>
      </c>
      <c r="R254" s="2" t="str">
        <f t="shared" si="37"/>
        <v/>
      </c>
      <c r="S254" s="2" t="str">
        <f t="shared" si="38"/>
        <v/>
      </c>
      <c r="T254" s="2" t="str">
        <f t="shared" si="39"/>
        <v/>
      </c>
      <c r="U254" s="2" t="str">
        <f t="shared" si="40"/>
        <v/>
      </c>
      <c r="V254" s="2" t="b">
        <f t="shared" si="41"/>
        <v>0</v>
      </c>
      <c r="AA254" s="2" t="str">
        <f t="shared" si="42"/>
        <v/>
      </c>
      <c r="AB254" s="2" t="b">
        <f t="shared" si="43"/>
        <v>0</v>
      </c>
    </row>
    <row r="255" spans="1:28" x14ac:dyDescent="0.3">
      <c r="A255" s="2">
        <v>254</v>
      </c>
      <c r="B255" s="4"/>
      <c r="C255" s="4" t="s">
        <v>41</v>
      </c>
      <c r="D255" s="3"/>
      <c r="E255" s="3"/>
      <c r="F255" s="3"/>
      <c r="G255" s="3"/>
      <c r="H255" s="4"/>
      <c r="I255" s="4"/>
      <c r="J255" s="4"/>
      <c r="K255" s="4"/>
      <c r="L255" s="4"/>
      <c r="M255" s="4"/>
      <c r="N255" s="2" t="str">
        <f t="shared" si="33"/>
        <v/>
      </c>
      <c r="O255" s="2" t="str">
        <f t="shared" si="34"/>
        <v/>
      </c>
      <c r="P255" s="2" t="str">
        <f t="shared" si="35"/>
        <v/>
      </c>
      <c r="Q255" s="2" t="str">
        <f t="shared" si="36"/>
        <v/>
      </c>
      <c r="R255" s="2" t="str">
        <f t="shared" si="37"/>
        <v/>
      </c>
      <c r="S255" s="2" t="str">
        <f t="shared" si="38"/>
        <v/>
      </c>
      <c r="T255" s="2" t="str">
        <f t="shared" si="39"/>
        <v/>
      </c>
      <c r="U255" s="2" t="str">
        <f t="shared" si="40"/>
        <v/>
      </c>
      <c r="V255" s="2" t="b">
        <f t="shared" si="41"/>
        <v>0</v>
      </c>
      <c r="AA255" s="2" t="str">
        <f t="shared" si="42"/>
        <v/>
      </c>
      <c r="AB255" s="2" t="b">
        <f t="shared" si="43"/>
        <v>0</v>
      </c>
    </row>
    <row r="256" spans="1:28" x14ac:dyDescent="0.3">
      <c r="A256" s="2">
        <v>255</v>
      </c>
      <c r="B256" s="4"/>
      <c r="C256" s="4" t="s">
        <v>41</v>
      </c>
      <c r="D256" s="3"/>
      <c r="E256" s="3"/>
      <c r="F256" s="3"/>
      <c r="G256" s="3"/>
      <c r="H256" s="4"/>
      <c r="I256" s="4"/>
      <c r="J256" s="4"/>
      <c r="K256" s="4"/>
      <c r="L256" s="4"/>
      <c r="M256" s="4"/>
      <c r="N256" s="2" t="str">
        <f t="shared" si="33"/>
        <v/>
      </c>
      <c r="O256" s="2" t="str">
        <f t="shared" si="34"/>
        <v/>
      </c>
      <c r="P256" s="2" t="str">
        <f t="shared" si="35"/>
        <v/>
      </c>
      <c r="Q256" s="2" t="str">
        <f t="shared" si="36"/>
        <v/>
      </c>
      <c r="R256" s="2" t="str">
        <f t="shared" si="37"/>
        <v/>
      </c>
      <c r="S256" s="2" t="str">
        <f t="shared" si="38"/>
        <v/>
      </c>
      <c r="T256" s="2" t="str">
        <f t="shared" si="39"/>
        <v/>
      </c>
      <c r="U256" s="2" t="str">
        <f t="shared" si="40"/>
        <v/>
      </c>
      <c r="V256" s="2" t="b">
        <f t="shared" si="41"/>
        <v>0</v>
      </c>
      <c r="AA256" s="2" t="str">
        <f t="shared" si="42"/>
        <v/>
      </c>
      <c r="AB256" s="2" t="b">
        <f t="shared" si="43"/>
        <v>0</v>
      </c>
    </row>
    <row r="257" spans="1:28" x14ac:dyDescent="0.3">
      <c r="A257" s="2">
        <v>256</v>
      </c>
      <c r="B257" s="4"/>
      <c r="C257" s="4" t="s">
        <v>41</v>
      </c>
      <c r="D257" s="3"/>
      <c r="E257" s="3"/>
      <c r="F257" s="3"/>
      <c r="G257" s="3"/>
      <c r="H257" s="4"/>
      <c r="I257" s="4"/>
      <c r="J257" s="4"/>
      <c r="K257" s="4"/>
      <c r="L257" s="4"/>
      <c r="M257" s="4"/>
      <c r="N257" s="2" t="str">
        <f t="shared" si="33"/>
        <v/>
      </c>
      <c r="O257" s="2" t="str">
        <f t="shared" si="34"/>
        <v/>
      </c>
      <c r="P257" s="2" t="str">
        <f t="shared" si="35"/>
        <v/>
      </c>
      <c r="Q257" s="2" t="str">
        <f t="shared" si="36"/>
        <v/>
      </c>
      <c r="R257" s="2" t="str">
        <f t="shared" si="37"/>
        <v/>
      </c>
      <c r="S257" s="2" t="str">
        <f t="shared" si="38"/>
        <v/>
      </c>
      <c r="T257" s="2" t="str">
        <f t="shared" si="39"/>
        <v/>
      </c>
      <c r="U257" s="2" t="str">
        <f t="shared" si="40"/>
        <v/>
      </c>
      <c r="V257" s="2" t="b">
        <f t="shared" si="41"/>
        <v>0</v>
      </c>
      <c r="AA257" s="2" t="str">
        <f t="shared" si="42"/>
        <v/>
      </c>
      <c r="AB257" s="2" t="b">
        <f t="shared" si="43"/>
        <v>0</v>
      </c>
    </row>
    <row r="258" spans="1:28" x14ac:dyDescent="0.3">
      <c r="A258" s="2">
        <v>257</v>
      </c>
      <c r="B258" s="4"/>
      <c r="C258" s="4" t="s">
        <v>41</v>
      </c>
      <c r="D258" s="3"/>
      <c r="E258" s="3"/>
      <c r="F258" s="3"/>
      <c r="G258" s="3"/>
      <c r="H258" s="4"/>
      <c r="I258" s="4"/>
      <c r="J258" s="4"/>
      <c r="K258" s="4"/>
      <c r="L258" s="4"/>
      <c r="M258" s="4"/>
      <c r="N258" s="2" t="str">
        <f t="shared" ref="N258:N321" si="44">IF(OR(H258="",I258="",J258="",K258=""),"",(IF(H258&gt;I258,1,0)+IF(J258&gt;K258,1,0)+IF(AND(L258&lt;&gt;"",M258&lt;&gt;""),IF(L258&gt;M258,1,0),0)))</f>
        <v/>
      </c>
      <c r="O258" s="2" t="str">
        <f t="shared" ref="O258:O321" si="45">IF(N258="","",(IF(H258&lt;I258,1,0)+IF(J258&lt;K258,1,0)+IF(AND(L258&lt;&gt;"",M258&lt;&gt;""),IF(L258&lt;M258,1,0),0)))</f>
        <v/>
      </c>
      <c r="P258" s="2" t="str">
        <f t="shared" ref="P258:P321" si="46">IF(N258="","",IF(N258&gt;O258,"A","B"))</f>
        <v/>
      </c>
      <c r="Q258" s="2" t="str">
        <f t="shared" ref="Q258:Q321" si="47">IF(N258="","",H258+J258+IF(L258="",0,L258))</f>
        <v/>
      </c>
      <c r="R258" s="2" t="str">
        <f t="shared" ref="R258:R321" si="48">IF(N258="","",I258+K258+IF(M258="",0,M258))</f>
        <v/>
      </c>
      <c r="S258" s="2" t="str">
        <f t="shared" ref="S258:S321" si="49">IF(N258="","",Q258-R258)</f>
        <v/>
      </c>
      <c r="T258" s="2" t="str">
        <f t="shared" ref="T258:T321" si="50">IF(OR(C258&lt;&gt;$X$2,P258=""),"",MIN(MAX(0,S258)*$X$5,$X$6))</f>
        <v/>
      </c>
      <c r="U258" s="2" t="str">
        <f t="shared" ref="U258:U321" si="51">IF(OR(C258&lt;&gt;$X$2,P258=""),"",MIN(MAX(0,-S258)*$X$5,$X$6))</f>
        <v/>
      </c>
      <c r="V258" s="2" t="b">
        <f t="shared" ref="V258:V321" si="52">IF($Z$2="","",OR($D258=$Z$2,$E258=$Z$2,$F258=$Z$2,$G258=$Z$2))</f>
        <v>0</v>
      </c>
      <c r="AA258" s="2" t="str">
        <f t="shared" ref="AA258:AA321" si="53">IF($B258="","",YEAR($B258))</f>
        <v/>
      </c>
      <c r="AB258" s="2" t="b">
        <f t="shared" ref="AB258:AB321" si="54">IF($Z$5="Todas",TRUE,$AA258=$Z$5)</f>
        <v>0</v>
      </c>
    </row>
    <row r="259" spans="1:28" x14ac:dyDescent="0.3">
      <c r="A259" s="2">
        <v>258</v>
      </c>
      <c r="B259" s="4"/>
      <c r="C259" s="4" t="s">
        <v>41</v>
      </c>
      <c r="D259" s="3"/>
      <c r="E259" s="3"/>
      <c r="F259" s="3"/>
      <c r="G259" s="3"/>
      <c r="H259" s="4"/>
      <c r="I259" s="4"/>
      <c r="J259" s="4"/>
      <c r="K259" s="4"/>
      <c r="L259" s="4"/>
      <c r="M259" s="4"/>
      <c r="N259" s="2" t="str">
        <f t="shared" si="44"/>
        <v/>
      </c>
      <c r="O259" s="2" t="str">
        <f t="shared" si="45"/>
        <v/>
      </c>
      <c r="P259" s="2" t="str">
        <f t="shared" si="46"/>
        <v/>
      </c>
      <c r="Q259" s="2" t="str">
        <f t="shared" si="47"/>
        <v/>
      </c>
      <c r="R259" s="2" t="str">
        <f t="shared" si="48"/>
        <v/>
      </c>
      <c r="S259" s="2" t="str">
        <f t="shared" si="49"/>
        <v/>
      </c>
      <c r="T259" s="2" t="str">
        <f t="shared" si="50"/>
        <v/>
      </c>
      <c r="U259" s="2" t="str">
        <f t="shared" si="51"/>
        <v/>
      </c>
      <c r="V259" s="2" t="b">
        <f t="shared" si="52"/>
        <v>0</v>
      </c>
      <c r="AA259" s="2" t="str">
        <f t="shared" si="53"/>
        <v/>
      </c>
      <c r="AB259" s="2" t="b">
        <f t="shared" si="54"/>
        <v>0</v>
      </c>
    </row>
    <row r="260" spans="1:28" x14ac:dyDescent="0.3">
      <c r="A260" s="2">
        <v>259</v>
      </c>
      <c r="B260" s="4"/>
      <c r="C260" s="4" t="s">
        <v>41</v>
      </c>
      <c r="D260" s="3"/>
      <c r="E260" s="3"/>
      <c r="F260" s="3"/>
      <c r="G260" s="3"/>
      <c r="H260" s="4"/>
      <c r="I260" s="4"/>
      <c r="J260" s="4"/>
      <c r="K260" s="4"/>
      <c r="L260" s="4"/>
      <c r="M260" s="4"/>
      <c r="N260" s="2" t="str">
        <f t="shared" si="44"/>
        <v/>
      </c>
      <c r="O260" s="2" t="str">
        <f t="shared" si="45"/>
        <v/>
      </c>
      <c r="P260" s="2" t="str">
        <f t="shared" si="46"/>
        <v/>
      </c>
      <c r="Q260" s="2" t="str">
        <f t="shared" si="47"/>
        <v/>
      </c>
      <c r="R260" s="2" t="str">
        <f t="shared" si="48"/>
        <v/>
      </c>
      <c r="S260" s="2" t="str">
        <f t="shared" si="49"/>
        <v/>
      </c>
      <c r="T260" s="2" t="str">
        <f t="shared" si="50"/>
        <v/>
      </c>
      <c r="U260" s="2" t="str">
        <f t="shared" si="51"/>
        <v/>
      </c>
      <c r="V260" s="2" t="b">
        <f t="shared" si="52"/>
        <v>0</v>
      </c>
      <c r="AA260" s="2" t="str">
        <f t="shared" si="53"/>
        <v/>
      </c>
      <c r="AB260" s="2" t="b">
        <f t="shared" si="54"/>
        <v>0</v>
      </c>
    </row>
    <row r="261" spans="1:28" x14ac:dyDescent="0.3">
      <c r="A261" s="2">
        <v>260</v>
      </c>
      <c r="B261" s="4"/>
      <c r="C261" s="4" t="s">
        <v>41</v>
      </c>
      <c r="D261" s="3"/>
      <c r="E261" s="3"/>
      <c r="F261" s="3"/>
      <c r="G261" s="3"/>
      <c r="H261" s="4"/>
      <c r="I261" s="4"/>
      <c r="J261" s="4"/>
      <c r="K261" s="4"/>
      <c r="L261" s="4"/>
      <c r="M261" s="4"/>
      <c r="N261" s="2" t="str">
        <f t="shared" si="44"/>
        <v/>
      </c>
      <c r="O261" s="2" t="str">
        <f t="shared" si="45"/>
        <v/>
      </c>
      <c r="P261" s="2" t="str">
        <f t="shared" si="46"/>
        <v/>
      </c>
      <c r="Q261" s="2" t="str">
        <f t="shared" si="47"/>
        <v/>
      </c>
      <c r="R261" s="2" t="str">
        <f t="shared" si="48"/>
        <v/>
      </c>
      <c r="S261" s="2" t="str">
        <f t="shared" si="49"/>
        <v/>
      </c>
      <c r="T261" s="2" t="str">
        <f t="shared" si="50"/>
        <v/>
      </c>
      <c r="U261" s="2" t="str">
        <f t="shared" si="51"/>
        <v/>
      </c>
      <c r="V261" s="2" t="b">
        <f t="shared" si="52"/>
        <v>0</v>
      </c>
      <c r="AA261" s="2" t="str">
        <f t="shared" si="53"/>
        <v/>
      </c>
      <c r="AB261" s="2" t="b">
        <f t="shared" si="54"/>
        <v>0</v>
      </c>
    </row>
    <row r="262" spans="1:28" x14ac:dyDescent="0.3">
      <c r="A262" s="2">
        <v>261</v>
      </c>
      <c r="B262" s="4"/>
      <c r="C262" s="4" t="s">
        <v>41</v>
      </c>
      <c r="D262" s="3"/>
      <c r="E262" s="3"/>
      <c r="F262" s="3"/>
      <c r="G262" s="3"/>
      <c r="H262" s="4"/>
      <c r="I262" s="4"/>
      <c r="J262" s="4"/>
      <c r="K262" s="4"/>
      <c r="L262" s="4"/>
      <c r="M262" s="4"/>
      <c r="N262" s="2" t="str">
        <f t="shared" si="44"/>
        <v/>
      </c>
      <c r="O262" s="2" t="str">
        <f t="shared" si="45"/>
        <v/>
      </c>
      <c r="P262" s="2" t="str">
        <f t="shared" si="46"/>
        <v/>
      </c>
      <c r="Q262" s="2" t="str">
        <f t="shared" si="47"/>
        <v/>
      </c>
      <c r="R262" s="2" t="str">
        <f t="shared" si="48"/>
        <v/>
      </c>
      <c r="S262" s="2" t="str">
        <f t="shared" si="49"/>
        <v/>
      </c>
      <c r="T262" s="2" t="str">
        <f t="shared" si="50"/>
        <v/>
      </c>
      <c r="U262" s="2" t="str">
        <f t="shared" si="51"/>
        <v/>
      </c>
      <c r="V262" s="2" t="b">
        <f t="shared" si="52"/>
        <v>0</v>
      </c>
      <c r="AA262" s="2" t="str">
        <f t="shared" si="53"/>
        <v/>
      </c>
      <c r="AB262" s="2" t="b">
        <f t="shared" si="54"/>
        <v>0</v>
      </c>
    </row>
    <row r="263" spans="1:28" x14ac:dyDescent="0.3">
      <c r="A263" s="2">
        <v>262</v>
      </c>
      <c r="B263" s="4"/>
      <c r="C263" s="4" t="s">
        <v>41</v>
      </c>
      <c r="D263" s="3"/>
      <c r="E263" s="3"/>
      <c r="F263" s="3"/>
      <c r="G263" s="3"/>
      <c r="H263" s="4"/>
      <c r="I263" s="4"/>
      <c r="J263" s="4"/>
      <c r="K263" s="4"/>
      <c r="L263" s="4"/>
      <c r="M263" s="4"/>
      <c r="N263" s="2" t="str">
        <f t="shared" si="44"/>
        <v/>
      </c>
      <c r="O263" s="2" t="str">
        <f t="shared" si="45"/>
        <v/>
      </c>
      <c r="P263" s="2" t="str">
        <f t="shared" si="46"/>
        <v/>
      </c>
      <c r="Q263" s="2" t="str">
        <f t="shared" si="47"/>
        <v/>
      </c>
      <c r="R263" s="2" t="str">
        <f t="shared" si="48"/>
        <v/>
      </c>
      <c r="S263" s="2" t="str">
        <f t="shared" si="49"/>
        <v/>
      </c>
      <c r="T263" s="2" t="str">
        <f t="shared" si="50"/>
        <v/>
      </c>
      <c r="U263" s="2" t="str">
        <f t="shared" si="51"/>
        <v/>
      </c>
      <c r="V263" s="2" t="b">
        <f t="shared" si="52"/>
        <v>0</v>
      </c>
      <c r="AA263" s="2" t="str">
        <f t="shared" si="53"/>
        <v/>
      </c>
      <c r="AB263" s="2" t="b">
        <f t="shared" si="54"/>
        <v>0</v>
      </c>
    </row>
    <row r="264" spans="1:28" x14ac:dyDescent="0.3">
      <c r="A264" s="2">
        <v>263</v>
      </c>
      <c r="B264" s="4"/>
      <c r="C264" s="4" t="s">
        <v>41</v>
      </c>
      <c r="D264" s="3"/>
      <c r="E264" s="3"/>
      <c r="F264" s="3"/>
      <c r="G264" s="3"/>
      <c r="H264" s="4"/>
      <c r="I264" s="4"/>
      <c r="J264" s="4"/>
      <c r="K264" s="4"/>
      <c r="L264" s="4"/>
      <c r="M264" s="4"/>
      <c r="N264" s="2" t="str">
        <f t="shared" si="44"/>
        <v/>
      </c>
      <c r="O264" s="2" t="str">
        <f t="shared" si="45"/>
        <v/>
      </c>
      <c r="P264" s="2" t="str">
        <f t="shared" si="46"/>
        <v/>
      </c>
      <c r="Q264" s="2" t="str">
        <f t="shared" si="47"/>
        <v/>
      </c>
      <c r="R264" s="2" t="str">
        <f t="shared" si="48"/>
        <v/>
      </c>
      <c r="S264" s="2" t="str">
        <f t="shared" si="49"/>
        <v/>
      </c>
      <c r="T264" s="2" t="str">
        <f t="shared" si="50"/>
        <v/>
      </c>
      <c r="U264" s="2" t="str">
        <f t="shared" si="51"/>
        <v/>
      </c>
      <c r="V264" s="2" t="b">
        <f t="shared" si="52"/>
        <v>0</v>
      </c>
      <c r="AA264" s="2" t="str">
        <f t="shared" si="53"/>
        <v/>
      </c>
      <c r="AB264" s="2" t="b">
        <f t="shared" si="54"/>
        <v>0</v>
      </c>
    </row>
    <row r="265" spans="1:28" x14ac:dyDescent="0.3">
      <c r="A265" s="2">
        <v>264</v>
      </c>
      <c r="B265" s="4"/>
      <c r="C265" s="4" t="s">
        <v>41</v>
      </c>
      <c r="D265" s="3"/>
      <c r="E265" s="3"/>
      <c r="F265" s="3"/>
      <c r="G265" s="3"/>
      <c r="H265" s="4"/>
      <c r="I265" s="4"/>
      <c r="J265" s="4"/>
      <c r="K265" s="4"/>
      <c r="L265" s="4"/>
      <c r="M265" s="4"/>
      <c r="N265" s="2" t="str">
        <f t="shared" si="44"/>
        <v/>
      </c>
      <c r="O265" s="2" t="str">
        <f t="shared" si="45"/>
        <v/>
      </c>
      <c r="P265" s="2" t="str">
        <f t="shared" si="46"/>
        <v/>
      </c>
      <c r="Q265" s="2" t="str">
        <f t="shared" si="47"/>
        <v/>
      </c>
      <c r="R265" s="2" t="str">
        <f t="shared" si="48"/>
        <v/>
      </c>
      <c r="S265" s="2" t="str">
        <f t="shared" si="49"/>
        <v/>
      </c>
      <c r="T265" s="2" t="str">
        <f t="shared" si="50"/>
        <v/>
      </c>
      <c r="U265" s="2" t="str">
        <f t="shared" si="51"/>
        <v/>
      </c>
      <c r="V265" s="2" t="b">
        <f t="shared" si="52"/>
        <v>0</v>
      </c>
      <c r="AA265" s="2" t="str">
        <f t="shared" si="53"/>
        <v/>
      </c>
      <c r="AB265" s="2" t="b">
        <f t="shared" si="54"/>
        <v>0</v>
      </c>
    </row>
    <row r="266" spans="1:28" x14ac:dyDescent="0.3">
      <c r="A266" s="2">
        <v>265</v>
      </c>
      <c r="B266" s="4"/>
      <c r="C266" s="4" t="s">
        <v>41</v>
      </c>
      <c r="D266" s="3"/>
      <c r="E266" s="3"/>
      <c r="F266" s="3"/>
      <c r="G266" s="3"/>
      <c r="H266" s="4"/>
      <c r="I266" s="4"/>
      <c r="J266" s="4"/>
      <c r="K266" s="4"/>
      <c r="L266" s="4"/>
      <c r="M266" s="4"/>
      <c r="N266" s="2" t="str">
        <f t="shared" si="44"/>
        <v/>
      </c>
      <c r="O266" s="2" t="str">
        <f t="shared" si="45"/>
        <v/>
      </c>
      <c r="P266" s="2" t="str">
        <f t="shared" si="46"/>
        <v/>
      </c>
      <c r="Q266" s="2" t="str">
        <f t="shared" si="47"/>
        <v/>
      </c>
      <c r="R266" s="2" t="str">
        <f t="shared" si="48"/>
        <v/>
      </c>
      <c r="S266" s="2" t="str">
        <f t="shared" si="49"/>
        <v/>
      </c>
      <c r="T266" s="2" t="str">
        <f t="shared" si="50"/>
        <v/>
      </c>
      <c r="U266" s="2" t="str">
        <f t="shared" si="51"/>
        <v/>
      </c>
      <c r="V266" s="2" t="b">
        <f t="shared" si="52"/>
        <v>0</v>
      </c>
      <c r="AA266" s="2" t="str">
        <f t="shared" si="53"/>
        <v/>
      </c>
      <c r="AB266" s="2" t="b">
        <f t="shared" si="54"/>
        <v>0</v>
      </c>
    </row>
    <row r="267" spans="1:28" x14ac:dyDescent="0.3">
      <c r="A267" s="2">
        <v>266</v>
      </c>
      <c r="B267" s="4"/>
      <c r="C267" s="4" t="s">
        <v>41</v>
      </c>
      <c r="D267" s="3"/>
      <c r="E267" s="3"/>
      <c r="F267" s="3"/>
      <c r="G267" s="3"/>
      <c r="H267" s="4"/>
      <c r="I267" s="4"/>
      <c r="J267" s="4"/>
      <c r="K267" s="4"/>
      <c r="L267" s="4"/>
      <c r="M267" s="4"/>
      <c r="N267" s="2" t="str">
        <f t="shared" si="44"/>
        <v/>
      </c>
      <c r="O267" s="2" t="str">
        <f t="shared" si="45"/>
        <v/>
      </c>
      <c r="P267" s="2" t="str">
        <f t="shared" si="46"/>
        <v/>
      </c>
      <c r="Q267" s="2" t="str">
        <f t="shared" si="47"/>
        <v/>
      </c>
      <c r="R267" s="2" t="str">
        <f t="shared" si="48"/>
        <v/>
      </c>
      <c r="S267" s="2" t="str">
        <f t="shared" si="49"/>
        <v/>
      </c>
      <c r="T267" s="2" t="str">
        <f t="shared" si="50"/>
        <v/>
      </c>
      <c r="U267" s="2" t="str">
        <f t="shared" si="51"/>
        <v/>
      </c>
      <c r="V267" s="2" t="b">
        <f t="shared" si="52"/>
        <v>0</v>
      </c>
      <c r="AA267" s="2" t="str">
        <f t="shared" si="53"/>
        <v/>
      </c>
      <c r="AB267" s="2" t="b">
        <f t="shared" si="54"/>
        <v>0</v>
      </c>
    </row>
    <row r="268" spans="1:28" x14ac:dyDescent="0.3">
      <c r="A268" s="2">
        <v>267</v>
      </c>
      <c r="B268" s="4"/>
      <c r="C268" s="4" t="s">
        <v>41</v>
      </c>
      <c r="D268" s="3"/>
      <c r="E268" s="3"/>
      <c r="F268" s="3"/>
      <c r="G268" s="3"/>
      <c r="H268" s="4"/>
      <c r="I268" s="4"/>
      <c r="J268" s="4"/>
      <c r="K268" s="4"/>
      <c r="L268" s="4"/>
      <c r="M268" s="4"/>
      <c r="N268" s="2" t="str">
        <f t="shared" si="44"/>
        <v/>
      </c>
      <c r="O268" s="2" t="str">
        <f t="shared" si="45"/>
        <v/>
      </c>
      <c r="P268" s="2" t="str">
        <f t="shared" si="46"/>
        <v/>
      </c>
      <c r="Q268" s="2" t="str">
        <f t="shared" si="47"/>
        <v/>
      </c>
      <c r="R268" s="2" t="str">
        <f t="shared" si="48"/>
        <v/>
      </c>
      <c r="S268" s="2" t="str">
        <f t="shared" si="49"/>
        <v/>
      </c>
      <c r="T268" s="2" t="str">
        <f t="shared" si="50"/>
        <v/>
      </c>
      <c r="U268" s="2" t="str">
        <f t="shared" si="51"/>
        <v/>
      </c>
      <c r="V268" s="2" t="b">
        <f t="shared" si="52"/>
        <v>0</v>
      </c>
      <c r="AA268" s="2" t="str">
        <f t="shared" si="53"/>
        <v/>
      </c>
      <c r="AB268" s="2" t="b">
        <f t="shared" si="54"/>
        <v>0</v>
      </c>
    </row>
    <row r="269" spans="1:28" x14ac:dyDescent="0.3">
      <c r="A269" s="2">
        <v>268</v>
      </c>
      <c r="B269" s="4"/>
      <c r="C269" s="4" t="s">
        <v>41</v>
      </c>
      <c r="D269" s="3"/>
      <c r="E269" s="3"/>
      <c r="F269" s="3"/>
      <c r="G269" s="3"/>
      <c r="H269" s="4"/>
      <c r="I269" s="4"/>
      <c r="J269" s="4"/>
      <c r="K269" s="4"/>
      <c r="L269" s="4"/>
      <c r="M269" s="4"/>
      <c r="N269" s="2" t="str">
        <f t="shared" si="44"/>
        <v/>
      </c>
      <c r="O269" s="2" t="str">
        <f t="shared" si="45"/>
        <v/>
      </c>
      <c r="P269" s="2" t="str">
        <f t="shared" si="46"/>
        <v/>
      </c>
      <c r="Q269" s="2" t="str">
        <f t="shared" si="47"/>
        <v/>
      </c>
      <c r="R269" s="2" t="str">
        <f t="shared" si="48"/>
        <v/>
      </c>
      <c r="S269" s="2" t="str">
        <f t="shared" si="49"/>
        <v/>
      </c>
      <c r="T269" s="2" t="str">
        <f t="shared" si="50"/>
        <v/>
      </c>
      <c r="U269" s="2" t="str">
        <f t="shared" si="51"/>
        <v/>
      </c>
      <c r="V269" s="2" t="b">
        <f t="shared" si="52"/>
        <v>0</v>
      </c>
      <c r="AA269" s="2" t="str">
        <f t="shared" si="53"/>
        <v/>
      </c>
      <c r="AB269" s="2" t="b">
        <f t="shared" si="54"/>
        <v>0</v>
      </c>
    </row>
    <row r="270" spans="1:28" x14ac:dyDescent="0.3">
      <c r="A270" s="2">
        <v>269</v>
      </c>
      <c r="B270" s="4"/>
      <c r="C270" s="4" t="s">
        <v>41</v>
      </c>
      <c r="D270" s="3"/>
      <c r="E270" s="3"/>
      <c r="F270" s="3"/>
      <c r="G270" s="3"/>
      <c r="H270" s="4"/>
      <c r="I270" s="4"/>
      <c r="J270" s="4"/>
      <c r="K270" s="4"/>
      <c r="L270" s="4"/>
      <c r="M270" s="4"/>
      <c r="N270" s="2" t="str">
        <f t="shared" si="44"/>
        <v/>
      </c>
      <c r="O270" s="2" t="str">
        <f t="shared" si="45"/>
        <v/>
      </c>
      <c r="P270" s="2" t="str">
        <f t="shared" si="46"/>
        <v/>
      </c>
      <c r="Q270" s="2" t="str">
        <f t="shared" si="47"/>
        <v/>
      </c>
      <c r="R270" s="2" t="str">
        <f t="shared" si="48"/>
        <v/>
      </c>
      <c r="S270" s="2" t="str">
        <f t="shared" si="49"/>
        <v/>
      </c>
      <c r="T270" s="2" t="str">
        <f t="shared" si="50"/>
        <v/>
      </c>
      <c r="U270" s="2" t="str">
        <f t="shared" si="51"/>
        <v/>
      </c>
      <c r="V270" s="2" t="b">
        <f t="shared" si="52"/>
        <v>0</v>
      </c>
      <c r="AA270" s="2" t="str">
        <f t="shared" si="53"/>
        <v/>
      </c>
      <c r="AB270" s="2" t="b">
        <f t="shared" si="54"/>
        <v>0</v>
      </c>
    </row>
    <row r="271" spans="1:28" x14ac:dyDescent="0.3">
      <c r="A271" s="2">
        <v>270</v>
      </c>
      <c r="B271" s="4"/>
      <c r="C271" s="4" t="s">
        <v>41</v>
      </c>
      <c r="D271" s="3"/>
      <c r="E271" s="3"/>
      <c r="F271" s="3"/>
      <c r="G271" s="3"/>
      <c r="H271" s="4"/>
      <c r="I271" s="4"/>
      <c r="J271" s="4"/>
      <c r="K271" s="4"/>
      <c r="L271" s="4"/>
      <c r="M271" s="4"/>
      <c r="N271" s="2" t="str">
        <f t="shared" si="44"/>
        <v/>
      </c>
      <c r="O271" s="2" t="str">
        <f t="shared" si="45"/>
        <v/>
      </c>
      <c r="P271" s="2" t="str">
        <f t="shared" si="46"/>
        <v/>
      </c>
      <c r="Q271" s="2" t="str">
        <f t="shared" si="47"/>
        <v/>
      </c>
      <c r="R271" s="2" t="str">
        <f t="shared" si="48"/>
        <v/>
      </c>
      <c r="S271" s="2" t="str">
        <f t="shared" si="49"/>
        <v/>
      </c>
      <c r="T271" s="2" t="str">
        <f t="shared" si="50"/>
        <v/>
      </c>
      <c r="U271" s="2" t="str">
        <f t="shared" si="51"/>
        <v/>
      </c>
      <c r="V271" s="2" t="b">
        <f t="shared" si="52"/>
        <v>0</v>
      </c>
      <c r="AA271" s="2" t="str">
        <f t="shared" si="53"/>
        <v/>
      </c>
      <c r="AB271" s="2" t="b">
        <f t="shared" si="54"/>
        <v>0</v>
      </c>
    </row>
    <row r="272" spans="1:28" x14ac:dyDescent="0.3">
      <c r="A272" s="2">
        <v>271</v>
      </c>
      <c r="B272" s="4"/>
      <c r="C272" s="4" t="s">
        <v>41</v>
      </c>
      <c r="D272" s="3"/>
      <c r="E272" s="3"/>
      <c r="F272" s="3"/>
      <c r="G272" s="3"/>
      <c r="H272" s="4"/>
      <c r="I272" s="4"/>
      <c r="J272" s="4"/>
      <c r="K272" s="4"/>
      <c r="L272" s="4"/>
      <c r="M272" s="4"/>
      <c r="N272" s="2" t="str">
        <f t="shared" si="44"/>
        <v/>
      </c>
      <c r="O272" s="2" t="str">
        <f t="shared" si="45"/>
        <v/>
      </c>
      <c r="P272" s="2" t="str">
        <f t="shared" si="46"/>
        <v/>
      </c>
      <c r="Q272" s="2" t="str">
        <f t="shared" si="47"/>
        <v/>
      </c>
      <c r="R272" s="2" t="str">
        <f t="shared" si="48"/>
        <v/>
      </c>
      <c r="S272" s="2" t="str">
        <f t="shared" si="49"/>
        <v/>
      </c>
      <c r="T272" s="2" t="str">
        <f t="shared" si="50"/>
        <v/>
      </c>
      <c r="U272" s="2" t="str">
        <f t="shared" si="51"/>
        <v/>
      </c>
      <c r="V272" s="2" t="b">
        <f t="shared" si="52"/>
        <v>0</v>
      </c>
      <c r="AA272" s="2" t="str">
        <f t="shared" si="53"/>
        <v/>
      </c>
      <c r="AB272" s="2" t="b">
        <f t="shared" si="54"/>
        <v>0</v>
      </c>
    </row>
    <row r="273" spans="1:28" x14ac:dyDescent="0.3">
      <c r="A273" s="2">
        <v>272</v>
      </c>
      <c r="B273" s="4"/>
      <c r="C273" s="4" t="s">
        <v>41</v>
      </c>
      <c r="D273" s="3"/>
      <c r="E273" s="3"/>
      <c r="F273" s="3"/>
      <c r="G273" s="3"/>
      <c r="H273" s="4"/>
      <c r="I273" s="4"/>
      <c r="J273" s="4"/>
      <c r="K273" s="4"/>
      <c r="L273" s="4"/>
      <c r="M273" s="4"/>
      <c r="N273" s="2" t="str">
        <f t="shared" si="44"/>
        <v/>
      </c>
      <c r="O273" s="2" t="str">
        <f t="shared" si="45"/>
        <v/>
      </c>
      <c r="P273" s="2" t="str">
        <f t="shared" si="46"/>
        <v/>
      </c>
      <c r="Q273" s="2" t="str">
        <f t="shared" si="47"/>
        <v/>
      </c>
      <c r="R273" s="2" t="str">
        <f t="shared" si="48"/>
        <v/>
      </c>
      <c r="S273" s="2" t="str">
        <f t="shared" si="49"/>
        <v/>
      </c>
      <c r="T273" s="2" t="str">
        <f t="shared" si="50"/>
        <v/>
      </c>
      <c r="U273" s="2" t="str">
        <f t="shared" si="51"/>
        <v/>
      </c>
      <c r="V273" s="2" t="b">
        <f t="shared" si="52"/>
        <v>0</v>
      </c>
      <c r="AA273" s="2" t="str">
        <f t="shared" si="53"/>
        <v/>
      </c>
      <c r="AB273" s="2" t="b">
        <f t="shared" si="54"/>
        <v>0</v>
      </c>
    </row>
    <row r="274" spans="1:28" x14ac:dyDescent="0.3">
      <c r="A274" s="2">
        <v>273</v>
      </c>
      <c r="B274" s="4"/>
      <c r="C274" s="4" t="s">
        <v>41</v>
      </c>
      <c r="D274" s="3"/>
      <c r="E274" s="3"/>
      <c r="F274" s="3"/>
      <c r="G274" s="3"/>
      <c r="H274" s="4"/>
      <c r="I274" s="4"/>
      <c r="J274" s="4"/>
      <c r="K274" s="4"/>
      <c r="L274" s="4"/>
      <c r="M274" s="4"/>
      <c r="N274" s="2" t="str">
        <f t="shared" si="44"/>
        <v/>
      </c>
      <c r="O274" s="2" t="str">
        <f t="shared" si="45"/>
        <v/>
      </c>
      <c r="P274" s="2" t="str">
        <f t="shared" si="46"/>
        <v/>
      </c>
      <c r="Q274" s="2" t="str">
        <f t="shared" si="47"/>
        <v/>
      </c>
      <c r="R274" s="2" t="str">
        <f t="shared" si="48"/>
        <v/>
      </c>
      <c r="S274" s="2" t="str">
        <f t="shared" si="49"/>
        <v/>
      </c>
      <c r="T274" s="2" t="str">
        <f t="shared" si="50"/>
        <v/>
      </c>
      <c r="U274" s="2" t="str">
        <f t="shared" si="51"/>
        <v/>
      </c>
      <c r="V274" s="2" t="b">
        <f t="shared" si="52"/>
        <v>0</v>
      </c>
      <c r="AA274" s="2" t="str">
        <f t="shared" si="53"/>
        <v/>
      </c>
      <c r="AB274" s="2" t="b">
        <f t="shared" si="54"/>
        <v>0</v>
      </c>
    </row>
    <row r="275" spans="1:28" x14ac:dyDescent="0.3">
      <c r="A275" s="2">
        <v>274</v>
      </c>
      <c r="B275" s="4"/>
      <c r="C275" s="4" t="s">
        <v>41</v>
      </c>
      <c r="D275" s="3"/>
      <c r="E275" s="3"/>
      <c r="F275" s="3"/>
      <c r="G275" s="3"/>
      <c r="H275" s="4"/>
      <c r="I275" s="4"/>
      <c r="J275" s="4"/>
      <c r="K275" s="4"/>
      <c r="L275" s="4"/>
      <c r="M275" s="4"/>
      <c r="N275" s="2" t="str">
        <f t="shared" si="44"/>
        <v/>
      </c>
      <c r="O275" s="2" t="str">
        <f t="shared" si="45"/>
        <v/>
      </c>
      <c r="P275" s="2" t="str">
        <f t="shared" si="46"/>
        <v/>
      </c>
      <c r="Q275" s="2" t="str">
        <f t="shared" si="47"/>
        <v/>
      </c>
      <c r="R275" s="2" t="str">
        <f t="shared" si="48"/>
        <v/>
      </c>
      <c r="S275" s="2" t="str">
        <f t="shared" si="49"/>
        <v/>
      </c>
      <c r="T275" s="2" t="str">
        <f t="shared" si="50"/>
        <v/>
      </c>
      <c r="U275" s="2" t="str">
        <f t="shared" si="51"/>
        <v/>
      </c>
      <c r="V275" s="2" t="b">
        <f t="shared" si="52"/>
        <v>0</v>
      </c>
      <c r="AA275" s="2" t="str">
        <f t="shared" si="53"/>
        <v/>
      </c>
      <c r="AB275" s="2" t="b">
        <f t="shared" si="54"/>
        <v>0</v>
      </c>
    </row>
    <row r="276" spans="1:28" x14ac:dyDescent="0.3">
      <c r="A276" s="2">
        <v>275</v>
      </c>
      <c r="B276" s="4"/>
      <c r="C276" s="4" t="s">
        <v>41</v>
      </c>
      <c r="D276" s="3"/>
      <c r="E276" s="3"/>
      <c r="F276" s="3"/>
      <c r="G276" s="3"/>
      <c r="H276" s="4"/>
      <c r="I276" s="4"/>
      <c r="J276" s="4"/>
      <c r="K276" s="4"/>
      <c r="L276" s="4"/>
      <c r="M276" s="4"/>
      <c r="N276" s="2" t="str">
        <f t="shared" si="44"/>
        <v/>
      </c>
      <c r="O276" s="2" t="str">
        <f t="shared" si="45"/>
        <v/>
      </c>
      <c r="P276" s="2" t="str">
        <f t="shared" si="46"/>
        <v/>
      </c>
      <c r="Q276" s="2" t="str">
        <f t="shared" si="47"/>
        <v/>
      </c>
      <c r="R276" s="2" t="str">
        <f t="shared" si="48"/>
        <v/>
      </c>
      <c r="S276" s="2" t="str">
        <f t="shared" si="49"/>
        <v/>
      </c>
      <c r="T276" s="2" t="str">
        <f t="shared" si="50"/>
        <v/>
      </c>
      <c r="U276" s="2" t="str">
        <f t="shared" si="51"/>
        <v/>
      </c>
      <c r="V276" s="2" t="b">
        <f t="shared" si="52"/>
        <v>0</v>
      </c>
      <c r="AA276" s="2" t="str">
        <f t="shared" si="53"/>
        <v/>
      </c>
      <c r="AB276" s="2" t="b">
        <f t="shared" si="54"/>
        <v>0</v>
      </c>
    </row>
    <row r="277" spans="1:28" x14ac:dyDescent="0.3">
      <c r="A277" s="2">
        <v>276</v>
      </c>
      <c r="B277" s="4"/>
      <c r="C277" s="4" t="s">
        <v>41</v>
      </c>
      <c r="D277" s="3"/>
      <c r="E277" s="3"/>
      <c r="F277" s="3"/>
      <c r="G277" s="3"/>
      <c r="H277" s="4"/>
      <c r="I277" s="4"/>
      <c r="J277" s="4"/>
      <c r="K277" s="4"/>
      <c r="L277" s="4"/>
      <c r="M277" s="4"/>
      <c r="N277" s="2" t="str">
        <f t="shared" si="44"/>
        <v/>
      </c>
      <c r="O277" s="2" t="str">
        <f t="shared" si="45"/>
        <v/>
      </c>
      <c r="P277" s="2" t="str">
        <f t="shared" si="46"/>
        <v/>
      </c>
      <c r="Q277" s="2" t="str">
        <f t="shared" si="47"/>
        <v/>
      </c>
      <c r="R277" s="2" t="str">
        <f t="shared" si="48"/>
        <v/>
      </c>
      <c r="S277" s="2" t="str">
        <f t="shared" si="49"/>
        <v/>
      </c>
      <c r="T277" s="2" t="str">
        <f t="shared" si="50"/>
        <v/>
      </c>
      <c r="U277" s="2" t="str">
        <f t="shared" si="51"/>
        <v/>
      </c>
      <c r="V277" s="2" t="b">
        <f t="shared" si="52"/>
        <v>0</v>
      </c>
      <c r="AA277" s="2" t="str">
        <f t="shared" si="53"/>
        <v/>
      </c>
      <c r="AB277" s="2" t="b">
        <f t="shared" si="54"/>
        <v>0</v>
      </c>
    </row>
    <row r="278" spans="1:28" x14ac:dyDescent="0.3">
      <c r="A278" s="2">
        <v>277</v>
      </c>
      <c r="B278" s="4"/>
      <c r="C278" s="4" t="s">
        <v>41</v>
      </c>
      <c r="D278" s="3"/>
      <c r="E278" s="3"/>
      <c r="F278" s="3"/>
      <c r="G278" s="3"/>
      <c r="H278" s="4"/>
      <c r="I278" s="4"/>
      <c r="J278" s="4"/>
      <c r="K278" s="4"/>
      <c r="L278" s="4"/>
      <c r="M278" s="4"/>
      <c r="N278" s="2" t="str">
        <f t="shared" si="44"/>
        <v/>
      </c>
      <c r="O278" s="2" t="str">
        <f t="shared" si="45"/>
        <v/>
      </c>
      <c r="P278" s="2" t="str">
        <f t="shared" si="46"/>
        <v/>
      </c>
      <c r="Q278" s="2" t="str">
        <f t="shared" si="47"/>
        <v/>
      </c>
      <c r="R278" s="2" t="str">
        <f t="shared" si="48"/>
        <v/>
      </c>
      <c r="S278" s="2" t="str">
        <f t="shared" si="49"/>
        <v/>
      </c>
      <c r="T278" s="2" t="str">
        <f t="shared" si="50"/>
        <v/>
      </c>
      <c r="U278" s="2" t="str">
        <f t="shared" si="51"/>
        <v/>
      </c>
      <c r="V278" s="2" t="b">
        <f t="shared" si="52"/>
        <v>0</v>
      </c>
      <c r="AA278" s="2" t="str">
        <f t="shared" si="53"/>
        <v/>
      </c>
      <c r="AB278" s="2" t="b">
        <f t="shared" si="54"/>
        <v>0</v>
      </c>
    </row>
    <row r="279" spans="1:28" x14ac:dyDescent="0.3">
      <c r="A279" s="2">
        <v>278</v>
      </c>
      <c r="B279" s="4"/>
      <c r="C279" s="4" t="s">
        <v>41</v>
      </c>
      <c r="D279" s="3"/>
      <c r="E279" s="3"/>
      <c r="F279" s="3"/>
      <c r="G279" s="3"/>
      <c r="H279" s="4"/>
      <c r="I279" s="4"/>
      <c r="J279" s="4"/>
      <c r="K279" s="4"/>
      <c r="L279" s="4"/>
      <c r="M279" s="4"/>
      <c r="N279" s="2" t="str">
        <f t="shared" si="44"/>
        <v/>
      </c>
      <c r="O279" s="2" t="str">
        <f t="shared" si="45"/>
        <v/>
      </c>
      <c r="P279" s="2" t="str">
        <f t="shared" si="46"/>
        <v/>
      </c>
      <c r="Q279" s="2" t="str">
        <f t="shared" si="47"/>
        <v/>
      </c>
      <c r="R279" s="2" t="str">
        <f t="shared" si="48"/>
        <v/>
      </c>
      <c r="S279" s="2" t="str">
        <f t="shared" si="49"/>
        <v/>
      </c>
      <c r="T279" s="2" t="str">
        <f t="shared" si="50"/>
        <v/>
      </c>
      <c r="U279" s="2" t="str">
        <f t="shared" si="51"/>
        <v/>
      </c>
      <c r="V279" s="2" t="b">
        <f t="shared" si="52"/>
        <v>0</v>
      </c>
      <c r="AA279" s="2" t="str">
        <f t="shared" si="53"/>
        <v/>
      </c>
      <c r="AB279" s="2" t="b">
        <f t="shared" si="54"/>
        <v>0</v>
      </c>
    </row>
    <row r="280" spans="1:28" x14ac:dyDescent="0.3">
      <c r="A280" s="2">
        <v>279</v>
      </c>
      <c r="B280" s="4"/>
      <c r="C280" s="4" t="s">
        <v>41</v>
      </c>
      <c r="D280" s="3"/>
      <c r="E280" s="3"/>
      <c r="F280" s="3"/>
      <c r="G280" s="3"/>
      <c r="H280" s="4"/>
      <c r="I280" s="4"/>
      <c r="J280" s="4"/>
      <c r="K280" s="4"/>
      <c r="L280" s="4"/>
      <c r="M280" s="4"/>
      <c r="N280" s="2" t="str">
        <f t="shared" si="44"/>
        <v/>
      </c>
      <c r="O280" s="2" t="str">
        <f t="shared" si="45"/>
        <v/>
      </c>
      <c r="P280" s="2" t="str">
        <f t="shared" si="46"/>
        <v/>
      </c>
      <c r="Q280" s="2" t="str">
        <f t="shared" si="47"/>
        <v/>
      </c>
      <c r="R280" s="2" t="str">
        <f t="shared" si="48"/>
        <v/>
      </c>
      <c r="S280" s="2" t="str">
        <f t="shared" si="49"/>
        <v/>
      </c>
      <c r="T280" s="2" t="str">
        <f t="shared" si="50"/>
        <v/>
      </c>
      <c r="U280" s="2" t="str">
        <f t="shared" si="51"/>
        <v/>
      </c>
      <c r="V280" s="2" t="b">
        <f t="shared" si="52"/>
        <v>0</v>
      </c>
      <c r="AA280" s="2" t="str">
        <f t="shared" si="53"/>
        <v/>
      </c>
      <c r="AB280" s="2" t="b">
        <f t="shared" si="54"/>
        <v>0</v>
      </c>
    </row>
    <row r="281" spans="1:28" x14ac:dyDescent="0.3">
      <c r="A281" s="2">
        <v>280</v>
      </c>
      <c r="B281" s="4"/>
      <c r="C281" s="4" t="s">
        <v>41</v>
      </c>
      <c r="D281" s="3"/>
      <c r="E281" s="3"/>
      <c r="F281" s="3"/>
      <c r="G281" s="3"/>
      <c r="H281" s="4"/>
      <c r="I281" s="4"/>
      <c r="J281" s="4"/>
      <c r="K281" s="4"/>
      <c r="L281" s="4"/>
      <c r="M281" s="4"/>
      <c r="N281" s="2" t="str">
        <f t="shared" si="44"/>
        <v/>
      </c>
      <c r="O281" s="2" t="str">
        <f t="shared" si="45"/>
        <v/>
      </c>
      <c r="P281" s="2" t="str">
        <f t="shared" si="46"/>
        <v/>
      </c>
      <c r="Q281" s="2" t="str">
        <f t="shared" si="47"/>
        <v/>
      </c>
      <c r="R281" s="2" t="str">
        <f t="shared" si="48"/>
        <v/>
      </c>
      <c r="S281" s="2" t="str">
        <f t="shared" si="49"/>
        <v/>
      </c>
      <c r="T281" s="2" t="str">
        <f t="shared" si="50"/>
        <v/>
      </c>
      <c r="U281" s="2" t="str">
        <f t="shared" si="51"/>
        <v/>
      </c>
      <c r="V281" s="2" t="b">
        <f t="shared" si="52"/>
        <v>0</v>
      </c>
      <c r="AA281" s="2" t="str">
        <f t="shared" si="53"/>
        <v/>
      </c>
      <c r="AB281" s="2" t="b">
        <f t="shared" si="54"/>
        <v>0</v>
      </c>
    </row>
    <row r="282" spans="1:28" x14ac:dyDescent="0.3">
      <c r="A282" s="2">
        <v>281</v>
      </c>
      <c r="B282" s="4"/>
      <c r="C282" s="4" t="s">
        <v>41</v>
      </c>
      <c r="D282" s="3"/>
      <c r="E282" s="3"/>
      <c r="F282" s="3"/>
      <c r="G282" s="3"/>
      <c r="H282" s="4"/>
      <c r="I282" s="4"/>
      <c r="J282" s="4"/>
      <c r="K282" s="4"/>
      <c r="L282" s="4"/>
      <c r="M282" s="4"/>
      <c r="N282" s="2" t="str">
        <f t="shared" si="44"/>
        <v/>
      </c>
      <c r="O282" s="2" t="str">
        <f t="shared" si="45"/>
        <v/>
      </c>
      <c r="P282" s="2" t="str">
        <f t="shared" si="46"/>
        <v/>
      </c>
      <c r="Q282" s="2" t="str">
        <f t="shared" si="47"/>
        <v/>
      </c>
      <c r="R282" s="2" t="str">
        <f t="shared" si="48"/>
        <v/>
      </c>
      <c r="S282" s="2" t="str">
        <f t="shared" si="49"/>
        <v/>
      </c>
      <c r="T282" s="2" t="str">
        <f t="shared" si="50"/>
        <v/>
      </c>
      <c r="U282" s="2" t="str">
        <f t="shared" si="51"/>
        <v/>
      </c>
      <c r="V282" s="2" t="b">
        <f t="shared" si="52"/>
        <v>0</v>
      </c>
      <c r="AA282" s="2" t="str">
        <f t="shared" si="53"/>
        <v/>
      </c>
      <c r="AB282" s="2" t="b">
        <f t="shared" si="54"/>
        <v>0</v>
      </c>
    </row>
    <row r="283" spans="1:28" x14ac:dyDescent="0.3">
      <c r="A283" s="2">
        <v>282</v>
      </c>
      <c r="B283" s="4"/>
      <c r="C283" s="4" t="s">
        <v>41</v>
      </c>
      <c r="D283" s="3"/>
      <c r="E283" s="3"/>
      <c r="F283" s="3"/>
      <c r="G283" s="3"/>
      <c r="H283" s="4"/>
      <c r="I283" s="4"/>
      <c r="J283" s="4"/>
      <c r="K283" s="4"/>
      <c r="L283" s="4"/>
      <c r="M283" s="4"/>
      <c r="N283" s="2" t="str">
        <f t="shared" si="44"/>
        <v/>
      </c>
      <c r="O283" s="2" t="str">
        <f t="shared" si="45"/>
        <v/>
      </c>
      <c r="P283" s="2" t="str">
        <f t="shared" si="46"/>
        <v/>
      </c>
      <c r="Q283" s="2" t="str">
        <f t="shared" si="47"/>
        <v/>
      </c>
      <c r="R283" s="2" t="str">
        <f t="shared" si="48"/>
        <v/>
      </c>
      <c r="S283" s="2" t="str">
        <f t="shared" si="49"/>
        <v/>
      </c>
      <c r="T283" s="2" t="str">
        <f t="shared" si="50"/>
        <v/>
      </c>
      <c r="U283" s="2" t="str">
        <f t="shared" si="51"/>
        <v/>
      </c>
      <c r="V283" s="2" t="b">
        <f t="shared" si="52"/>
        <v>0</v>
      </c>
      <c r="AA283" s="2" t="str">
        <f t="shared" si="53"/>
        <v/>
      </c>
      <c r="AB283" s="2" t="b">
        <f t="shared" si="54"/>
        <v>0</v>
      </c>
    </row>
    <row r="284" spans="1:28" x14ac:dyDescent="0.3">
      <c r="A284" s="2">
        <v>283</v>
      </c>
      <c r="B284" s="4"/>
      <c r="C284" s="4" t="s">
        <v>41</v>
      </c>
      <c r="D284" s="3"/>
      <c r="E284" s="3"/>
      <c r="F284" s="3"/>
      <c r="G284" s="3"/>
      <c r="H284" s="4"/>
      <c r="I284" s="4"/>
      <c r="J284" s="4"/>
      <c r="K284" s="4"/>
      <c r="L284" s="4"/>
      <c r="M284" s="4"/>
      <c r="N284" s="2" t="str">
        <f t="shared" si="44"/>
        <v/>
      </c>
      <c r="O284" s="2" t="str">
        <f t="shared" si="45"/>
        <v/>
      </c>
      <c r="P284" s="2" t="str">
        <f t="shared" si="46"/>
        <v/>
      </c>
      <c r="Q284" s="2" t="str">
        <f t="shared" si="47"/>
        <v/>
      </c>
      <c r="R284" s="2" t="str">
        <f t="shared" si="48"/>
        <v/>
      </c>
      <c r="S284" s="2" t="str">
        <f t="shared" si="49"/>
        <v/>
      </c>
      <c r="T284" s="2" t="str">
        <f t="shared" si="50"/>
        <v/>
      </c>
      <c r="U284" s="2" t="str">
        <f t="shared" si="51"/>
        <v/>
      </c>
      <c r="V284" s="2" t="b">
        <f t="shared" si="52"/>
        <v>0</v>
      </c>
      <c r="AA284" s="2" t="str">
        <f t="shared" si="53"/>
        <v/>
      </c>
      <c r="AB284" s="2" t="b">
        <f t="shared" si="54"/>
        <v>0</v>
      </c>
    </row>
    <row r="285" spans="1:28" x14ac:dyDescent="0.3">
      <c r="A285" s="2">
        <v>284</v>
      </c>
      <c r="B285" s="4"/>
      <c r="C285" s="4" t="s">
        <v>41</v>
      </c>
      <c r="D285" s="3"/>
      <c r="E285" s="3"/>
      <c r="F285" s="3"/>
      <c r="G285" s="3"/>
      <c r="H285" s="4"/>
      <c r="I285" s="4"/>
      <c r="J285" s="4"/>
      <c r="K285" s="4"/>
      <c r="L285" s="4"/>
      <c r="M285" s="4"/>
      <c r="N285" s="2" t="str">
        <f t="shared" si="44"/>
        <v/>
      </c>
      <c r="O285" s="2" t="str">
        <f t="shared" si="45"/>
        <v/>
      </c>
      <c r="P285" s="2" t="str">
        <f t="shared" si="46"/>
        <v/>
      </c>
      <c r="Q285" s="2" t="str">
        <f t="shared" si="47"/>
        <v/>
      </c>
      <c r="R285" s="2" t="str">
        <f t="shared" si="48"/>
        <v/>
      </c>
      <c r="S285" s="2" t="str">
        <f t="shared" si="49"/>
        <v/>
      </c>
      <c r="T285" s="2" t="str">
        <f t="shared" si="50"/>
        <v/>
      </c>
      <c r="U285" s="2" t="str">
        <f t="shared" si="51"/>
        <v/>
      </c>
      <c r="V285" s="2" t="b">
        <f t="shared" si="52"/>
        <v>0</v>
      </c>
      <c r="AA285" s="2" t="str">
        <f t="shared" si="53"/>
        <v/>
      </c>
      <c r="AB285" s="2" t="b">
        <f t="shared" si="54"/>
        <v>0</v>
      </c>
    </row>
    <row r="286" spans="1:28" x14ac:dyDescent="0.3">
      <c r="A286" s="2">
        <v>285</v>
      </c>
      <c r="B286" s="4"/>
      <c r="C286" s="4" t="s">
        <v>41</v>
      </c>
      <c r="D286" s="3"/>
      <c r="E286" s="3"/>
      <c r="F286" s="3"/>
      <c r="G286" s="3"/>
      <c r="H286" s="4"/>
      <c r="I286" s="4"/>
      <c r="J286" s="4"/>
      <c r="K286" s="4"/>
      <c r="L286" s="4"/>
      <c r="M286" s="4"/>
      <c r="N286" s="2" t="str">
        <f t="shared" si="44"/>
        <v/>
      </c>
      <c r="O286" s="2" t="str">
        <f t="shared" si="45"/>
        <v/>
      </c>
      <c r="P286" s="2" t="str">
        <f t="shared" si="46"/>
        <v/>
      </c>
      <c r="Q286" s="2" t="str">
        <f t="shared" si="47"/>
        <v/>
      </c>
      <c r="R286" s="2" t="str">
        <f t="shared" si="48"/>
        <v/>
      </c>
      <c r="S286" s="2" t="str">
        <f t="shared" si="49"/>
        <v/>
      </c>
      <c r="T286" s="2" t="str">
        <f t="shared" si="50"/>
        <v/>
      </c>
      <c r="U286" s="2" t="str">
        <f t="shared" si="51"/>
        <v/>
      </c>
      <c r="V286" s="2" t="b">
        <f t="shared" si="52"/>
        <v>0</v>
      </c>
      <c r="AA286" s="2" t="str">
        <f t="shared" si="53"/>
        <v/>
      </c>
      <c r="AB286" s="2" t="b">
        <f t="shared" si="54"/>
        <v>0</v>
      </c>
    </row>
    <row r="287" spans="1:28" x14ac:dyDescent="0.3">
      <c r="A287" s="2">
        <v>286</v>
      </c>
      <c r="B287" s="4"/>
      <c r="C287" s="4" t="s">
        <v>41</v>
      </c>
      <c r="D287" s="3"/>
      <c r="E287" s="3"/>
      <c r="F287" s="3"/>
      <c r="G287" s="3"/>
      <c r="H287" s="4"/>
      <c r="I287" s="4"/>
      <c r="J287" s="4"/>
      <c r="K287" s="4"/>
      <c r="L287" s="4"/>
      <c r="M287" s="4"/>
      <c r="N287" s="2" t="str">
        <f t="shared" si="44"/>
        <v/>
      </c>
      <c r="O287" s="2" t="str">
        <f t="shared" si="45"/>
        <v/>
      </c>
      <c r="P287" s="2" t="str">
        <f t="shared" si="46"/>
        <v/>
      </c>
      <c r="Q287" s="2" t="str">
        <f t="shared" si="47"/>
        <v/>
      </c>
      <c r="R287" s="2" t="str">
        <f t="shared" si="48"/>
        <v/>
      </c>
      <c r="S287" s="2" t="str">
        <f t="shared" si="49"/>
        <v/>
      </c>
      <c r="T287" s="2" t="str">
        <f t="shared" si="50"/>
        <v/>
      </c>
      <c r="U287" s="2" t="str">
        <f t="shared" si="51"/>
        <v/>
      </c>
      <c r="V287" s="2" t="b">
        <f t="shared" si="52"/>
        <v>0</v>
      </c>
      <c r="AA287" s="2" t="str">
        <f t="shared" si="53"/>
        <v/>
      </c>
      <c r="AB287" s="2" t="b">
        <f t="shared" si="54"/>
        <v>0</v>
      </c>
    </row>
    <row r="288" spans="1:28" x14ac:dyDescent="0.3">
      <c r="A288" s="2">
        <v>287</v>
      </c>
      <c r="B288" s="4"/>
      <c r="C288" s="4" t="s">
        <v>41</v>
      </c>
      <c r="D288" s="3"/>
      <c r="E288" s="3"/>
      <c r="F288" s="3"/>
      <c r="G288" s="3"/>
      <c r="H288" s="4"/>
      <c r="I288" s="4"/>
      <c r="J288" s="4"/>
      <c r="K288" s="4"/>
      <c r="L288" s="4"/>
      <c r="M288" s="4"/>
      <c r="N288" s="2" t="str">
        <f t="shared" si="44"/>
        <v/>
      </c>
      <c r="O288" s="2" t="str">
        <f t="shared" si="45"/>
        <v/>
      </c>
      <c r="P288" s="2" t="str">
        <f t="shared" si="46"/>
        <v/>
      </c>
      <c r="Q288" s="2" t="str">
        <f t="shared" si="47"/>
        <v/>
      </c>
      <c r="R288" s="2" t="str">
        <f t="shared" si="48"/>
        <v/>
      </c>
      <c r="S288" s="2" t="str">
        <f t="shared" si="49"/>
        <v/>
      </c>
      <c r="T288" s="2" t="str">
        <f t="shared" si="50"/>
        <v/>
      </c>
      <c r="U288" s="2" t="str">
        <f t="shared" si="51"/>
        <v/>
      </c>
      <c r="V288" s="2" t="b">
        <f t="shared" si="52"/>
        <v>0</v>
      </c>
      <c r="AA288" s="2" t="str">
        <f t="shared" si="53"/>
        <v/>
      </c>
      <c r="AB288" s="2" t="b">
        <f t="shared" si="54"/>
        <v>0</v>
      </c>
    </row>
    <row r="289" spans="1:28" x14ac:dyDescent="0.3">
      <c r="A289" s="2">
        <v>288</v>
      </c>
      <c r="B289" s="4"/>
      <c r="C289" s="4" t="s">
        <v>41</v>
      </c>
      <c r="D289" s="3"/>
      <c r="E289" s="3"/>
      <c r="F289" s="3"/>
      <c r="G289" s="3"/>
      <c r="H289" s="4"/>
      <c r="I289" s="4"/>
      <c r="J289" s="4"/>
      <c r="K289" s="4"/>
      <c r="L289" s="4"/>
      <c r="M289" s="4"/>
      <c r="N289" s="2" t="str">
        <f t="shared" si="44"/>
        <v/>
      </c>
      <c r="O289" s="2" t="str">
        <f t="shared" si="45"/>
        <v/>
      </c>
      <c r="P289" s="2" t="str">
        <f t="shared" si="46"/>
        <v/>
      </c>
      <c r="Q289" s="2" t="str">
        <f t="shared" si="47"/>
        <v/>
      </c>
      <c r="R289" s="2" t="str">
        <f t="shared" si="48"/>
        <v/>
      </c>
      <c r="S289" s="2" t="str">
        <f t="shared" si="49"/>
        <v/>
      </c>
      <c r="T289" s="2" t="str">
        <f t="shared" si="50"/>
        <v/>
      </c>
      <c r="U289" s="2" t="str">
        <f t="shared" si="51"/>
        <v/>
      </c>
      <c r="V289" s="2" t="b">
        <f t="shared" si="52"/>
        <v>0</v>
      </c>
      <c r="AA289" s="2" t="str">
        <f t="shared" si="53"/>
        <v/>
      </c>
      <c r="AB289" s="2" t="b">
        <f t="shared" si="54"/>
        <v>0</v>
      </c>
    </row>
    <row r="290" spans="1:28" x14ac:dyDescent="0.3">
      <c r="A290" s="2">
        <v>289</v>
      </c>
      <c r="B290" s="4"/>
      <c r="C290" s="4" t="s">
        <v>41</v>
      </c>
      <c r="D290" s="3"/>
      <c r="E290" s="3"/>
      <c r="F290" s="3"/>
      <c r="G290" s="3"/>
      <c r="H290" s="4"/>
      <c r="I290" s="4"/>
      <c r="J290" s="4"/>
      <c r="K290" s="4"/>
      <c r="L290" s="4"/>
      <c r="M290" s="4"/>
      <c r="N290" s="2" t="str">
        <f t="shared" si="44"/>
        <v/>
      </c>
      <c r="O290" s="2" t="str">
        <f t="shared" si="45"/>
        <v/>
      </c>
      <c r="P290" s="2" t="str">
        <f t="shared" si="46"/>
        <v/>
      </c>
      <c r="Q290" s="2" t="str">
        <f t="shared" si="47"/>
        <v/>
      </c>
      <c r="R290" s="2" t="str">
        <f t="shared" si="48"/>
        <v/>
      </c>
      <c r="S290" s="2" t="str">
        <f t="shared" si="49"/>
        <v/>
      </c>
      <c r="T290" s="2" t="str">
        <f t="shared" si="50"/>
        <v/>
      </c>
      <c r="U290" s="2" t="str">
        <f t="shared" si="51"/>
        <v/>
      </c>
      <c r="V290" s="2" t="b">
        <f t="shared" si="52"/>
        <v>0</v>
      </c>
      <c r="AA290" s="2" t="str">
        <f t="shared" si="53"/>
        <v/>
      </c>
      <c r="AB290" s="2" t="b">
        <f t="shared" si="54"/>
        <v>0</v>
      </c>
    </row>
    <row r="291" spans="1:28" x14ac:dyDescent="0.3">
      <c r="A291" s="2">
        <v>290</v>
      </c>
      <c r="B291" s="4"/>
      <c r="C291" s="4" t="s">
        <v>41</v>
      </c>
      <c r="D291" s="3"/>
      <c r="E291" s="3"/>
      <c r="F291" s="3"/>
      <c r="G291" s="3"/>
      <c r="H291" s="4"/>
      <c r="I291" s="4"/>
      <c r="J291" s="4"/>
      <c r="K291" s="4"/>
      <c r="L291" s="4"/>
      <c r="M291" s="4"/>
      <c r="N291" s="2" t="str">
        <f t="shared" si="44"/>
        <v/>
      </c>
      <c r="O291" s="2" t="str">
        <f t="shared" si="45"/>
        <v/>
      </c>
      <c r="P291" s="2" t="str">
        <f t="shared" si="46"/>
        <v/>
      </c>
      <c r="Q291" s="2" t="str">
        <f t="shared" si="47"/>
        <v/>
      </c>
      <c r="R291" s="2" t="str">
        <f t="shared" si="48"/>
        <v/>
      </c>
      <c r="S291" s="2" t="str">
        <f t="shared" si="49"/>
        <v/>
      </c>
      <c r="T291" s="2" t="str">
        <f t="shared" si="50"/>
        <v/>
      </c>
      <c r="U291" s="2" t="str">
        <f t="shared" si="51"/>
        <v/>
      </c>
      <c r="V291" s="2" t="b">
        <f t="shared" si="52"/>
        <v>0</v>
      </c>
      <c r="AA291" s="2" t="str">
        <f t="shared" si="53"/>
        <v/>
      </c>
      <c r="AB291" s="2" t="b">
        <f t="shared" si="54"/>
        <v>0</v>
      </c>
    </row>
    <row r="292" spans="1:28" x14ac:dyDescent="0.3">
      <c r="A292" s="2">
        <v>291</v>
      </c>
      <c r="B292" s="4"/>
      <c r="C292" s="4" t="s">
        <v>41</v>
      </c>
      <c r="D292" s="3"/>
      <c r="E292" s="3"/>
      <c r="F292" s="3"/>
      <c r="G292" s="3"/>
      <c r="H292" s="4"/>
      <c r="I292" s="4"/>
      <c r="J292" s="4"/>
      <c r="K292" s="4"/>
      <c r="L292" s="4"/>
      <c r="M292" s="4"/>
      <c r="N292" s="2" t="str">
        <f t="shared" si="44"/>
        <v/>
      </c>
      <c r="O292" s="2" t="str">
        <f t="shared" si="45"/>
        <v/>
      </c>
      <c r="P292" s="2" t="str">
        <f t="shared" si="46"/>
        <v/>
      </c>
      <c r="Q292" s="2" t="str">
        <f t="shared" si="47"/>
        <v/>
      </c>
      <c r="R292" s="2" t="str">
        <f t="shared" si="48"/>
        <v/>
      </c>
      <c r="S292" s="2" t="str">
        <f t="shared" si="49"/>
        <v/>
      </c>
      <c r="T292" s="2" t="str">
        <f t="shared" si="50"/>
        <v/>
      </c>
      <c r="U292" s="2" t="str">
        <f t="shared" si="51"/>
        <v/>
      </c>
      <c r="V292" s="2" t="b">
        <f t="shared" si="52"/>
        <v>0</v>
      </c>
      <c r="AA292" s="2" t="str">
        <f t="shared" si="53"/>
        <v/>
      </c>
      <c r="AB292" s="2" t="b">
        <f t="shared" si="54"/>
        <v>0</v>
      </c>
    </row>
    <row r="293" spans="1:28" x14ac:dyDescent="0.3">
      <c r="A293" s="2">
        <v>292</v>
      </c>
      <c r="B293" s="4"/>
      <c r="C293" s="4" t="s">
        <v>41</v>
      </c>
      <c r="D293" s="3"/>
      <c r="E293" s="3"/>
      <c r="F293" s="3"/>
      <c r="G293" s="3"/>
      <c r="H293" s="4"/>
      <c r="I293" s="4"/>
      <c r="J293" s="4"/>
      <c r="K293" s="4"/>
      <c r="L293" s="4"/>
      <c r="M293" s="4"/>
      <c r="N293" s="2" t="str">
        <f t="shared" si="44"/>
        <v/>
      </c>
      <c r="O293" s="2" t="str">
        <f t="shared" si="45"/>
        <v/>
      </c>
      <c r="P293" s="2" t="str">
        <f t="shared" si="46"/>
        <v/>
      </c>
      <c r="Q293" s="2" t="str">
        <f t="shared" si="47"/>
        <v/>
      </c>
      <c r="R293" s="2" t="str">
        <f t="shared" si="48"/>
        <v/>
      </c>
      <c r="S293" s="2" t="str">
        <f t="shared" si="49"/>
        <v/>
      </c>
      <c r="T293" s="2" t="str">
        <f t="shared" si="50"/>
        <v/>
      </c>
      <c r="U293" s="2" t="str">
        <f t="shared" si="51"/>
        <v/>
      </c>
      <c r="V293" s="2" t="b">
        <f t="shared" si="52"/>
        <v>0</v>
      </c>
      <c r="AA293" s="2" t="str">
        <f t="shared" si="53"/>
        <v/>
      </c>
      <c r="AB293" s="2" t="b">
        <f t="shared" si="54"/>
        <v>0</v>
      </c>
    </row>
    <row r="294" spans="1:28" x14ac:dyDescent="0.3">
      <c r="A294" s="2">
        <v>293</v>
      </c>
      <c r="B294" s="4"/>
      <c r="C294" s="4" t="s">
        <v>41</v>
      </c>
      <c r="D294" s="3"/>
      <c r="E294" s="3"/>
      <c r="F294" s="3"/>
      <c r="G294" s="3"/>
      <c r="H294" s="4"/>
      <c r="I294" s="4"/>
      <c r="J294" s="4"/>
      <c r="K294" s="4"/>
      <c r="L294" s="4"/>
      <c r="M294" s="4"/>
      <c r="N294" s="2" t="str">
        <f t="shared" si="44"/>
        <v/>
      </c>
      <c r="O294" s="2" t="str">
        <f t="shared" si="45"/>
        <v/>
      </c>
      <c r="P294" s="2" t="str">
        <f t="shared" si="46"/>
        <v/>
      </c>
      <c r="Q294" s="2" t="str">
        <f t="shared" si="47"/>
        <v/>
      </c>
      <c r="R294" s="2" t="str">
        <f t="shared" si="48"/>
        <v/>
      </c>
      <c r="S294" s="2" t="str">
        <f t="shared" si="49"/>
        <v/>
      </c>
      <c r="T294" s="2" t="str">
        <f t="shared" si="50"/>
        <v/>
      </c>
      <c r="U294" s="2" t="str">
        <f t="shared" si="51"/>
        <v/>
      </c>
      <c r="V294" s="2" t="b">
        <f t="shared" si="52"/>
        <v>0</v>
      </c>
      <c r="AA294" s="2" t="str">
        <f t="shared" si="53"/>
        <v/>
      </c>
      <c r="AB294" s="2" t="b">
        <f t="shared" si="54"/>
        <v>0</v>
      </c>
    </row>
    <row r="295" spans="1:28" x14ac:dyDescent="0.3">
      <c r="A295" s="2">
        <v>294</v>
      </c>
      <c r="B295" s="4"/>
      <c r="C295" s="4" t="s">
        <v>41</v>
      </c>
      <c r="D295" s="3"/>
      <c r="E295" s="3"/>
      <c r="F295" s="3"/>
      <c r="G295" s="3"/>
      <c r="H295" s="4"/>
      <c r="I295" s="4"/>
      <c r="J295" s="4"/>
      <c r="K295" s="4"/>
      <c r="L295" s="4"/>
      <c r="M295" s="4"/>
      <c r="N295" s="2" t="str">
        <f t="shared" si="44"/>
        <v/>
      </c>
      <c r="O295" s="2" t="str">
        <f t="shared" si="45"/>
        <v/>
      </c>
      <c r="P295" s="2" t="str">
        <f t="shared" si="46"/>
        <v/>
      </c>
      <c r="Q295" s="2" t="str">
        <f t="shared" si="47"/>
        <v/>
      </c>
      <c r="R295" s="2" t="str">
        <f t="shared" si="48"/>
        <v/>
      </c>
      <c r="S295" s="2" t="str">
        <f t="shared" si="49"/>
        <v/>
      </c>
      <c r="T295" s="2" t="str">
        <f t="shared" si="50"/>
        <v/>
      </c>
      <c r="U295" s="2" t="str">
        <f t="shared" si="51"/>
        <v/>
      </c>
      <c r="V295" s="2" t="b">
        <f t="shared" si="52"/>
        <v>0</v>
      </c>
      <c r="AA295" s="2" t="str">
        <f t="shared" si="53"/>
        <v/>
      </c>
      <c r="AB295" s="2" t="b">
        <f t="shared" si="54"/>
        <v>0</v>
      </c>
    </row>
    <row r="296" spans="1:28" x14ac:dyDescent="0.3">
      <c r="A296" s="2">
        <v>295</v>
      </c>
      <c r="B296" s="4"/>
      <c r="C296" s="4" t="s">
        <v>41</v>
      </c>
      <c r="D296" s="3"/>
      <c r="E296" s="3"/>
      <c r="F296" s="3"/>
      <c r="G296" s="3"/>
      <c r="H296" s="4"/>
      <c r="I296" s="4"/>
      <c r="J296" s="4"/>
      <c r="K296" s="4"/>
      <c r="L296" s="4"/>
      <c r="M296" s="4"/>
      <c r="N296" s="2" t="str">
        <f t="shared" si="44"/>
        <v/>
      </c>
      <c r="O296" s="2" t="str">
        <f t="shared" si="45"/>
        <v/>
      </c>
      <c r="P296" s="2" t="str">
        <f t="shared" si="46"/>
        <v/>
      </c>
      <c r="Q296" s="2" t="str">
        <f t="shared" si="47"/>
        <v/>
      </c>
      <c r="R296" s="2" t="str">
        <f t="shared" si="48"/>
        <v/>
      </c>
      <c r="S296" s="2" t="str">
        <f t="shared" si="49"/>
        <v/>
      </c>
      <c r="T296" s="2" t="str">
        <f t="shared" si="50"/>
        <v/>
      </c>
      <c r="U296" s="2" t="str">
        <f t="shared" si="51"/>
        <v/>
      </c>
      <c r="V296" s="2" t="b">
        <f t="shared" si="52"/>
        <v>0</v>
      </c>
      <c r="AA296" s="2" t="str">
        <f t="shared" si="53"/>
        <v/>
      </c>
      <c r="AB296" s="2" t="b">
        <f t="shared" si="54"/>
        <v>0</v>
      </c>
    </row>
    <row r="297" spans="1:28" x14ac:dyDescent="0.3">
      <c r="A297" s="2">
        <v>296</v>
      </c>
      <c r="B297" s="4"/>
      <c r="C297" s="4" t="s">
        <v>41</v>
      </c>
      <c r="D297" s="3"/>
      <c r="E297" s="3"/>
      <c r="F297" s="3"/>
      <c r="G297" s="3"/>
      <c r="H297" s="4"/>
      <c r="I297" s="4"/>
      <c r="J297" s="4"/>
      <c r="K297" s="4"/>
      <c r="L297" s="4"/>
      <c r="M297" s="4"/>
      <c r="N297" s="2" t="str">
        <f t="shared" si="44"/>
        <v/>
      </c>
      <c r="O297" s="2" t="str">
        <f t="shared" si="45"/>
        <v/>
      </c>
      <c r="P297" s="2" t="str">
        <f t="shared" si="46"/>
        <v/>
      </c>
      <c r="Q297" s="2" t="str">
        <f t="shared" si="47"/>
        <v/>
      </c>
      <c r="R297" s="2" t="str">
        <f t="shared" si="48"/>
        <v/>
      </c>
      <c r="S297" s="2" t="str">
        <f t="shared" si="49"/>
        <v/>
      </c>
      <c r="T297" s="2" t="str">
        <f t="shared" si="50"/>
        <v/>
      </c>
      <c r="U297" s="2" t="str">
        <f t="shared" si="51"/>
        <v/>
      </c>
      <c r="V297" s="2" t="b">
        <f t="shared" si="52"/>
        <v>0</v>
      </c>
      <c r="AA297" s="2" t="str">
        <f t="shared" si="53"/>
        <v/>
      </c>
      <c r="AB297" s="2" t="b">
        <f t="shared" si="54"/>
        <v>0</v>
      </c>
    </row>
    <row r="298" spans="1:28" x14ac:dyDescent="0.3">
      <c r="A298" s="2">
        <v>297</v>
      </c>
      <c r="B298" s="4"/>
      <c r="C298" s="4" t="s">
        <v>41</v>
      </c>
      <c r="D298" s="3"/>
      <c r="E298" s="3"/>
      <c r="F298" s="3"/>
      <c r="G298" s="3"/>
      <c r="H298" s="4"/>
      <c r="I298" s="4"/>
      <c r="J298" s="4"/>
      <c r="K298" s="4"/>
      <c r="L298" s="4"/>
      <c r="M298" s="4"/>
      <c r="N298" s="2" t="str">
        <f t="shared" si="44"/>
        <v/>
      </c>
      <c r="O298" s="2" t="str">
        <f t="shared" si="45"/>
        <v/>
      </c>
      <c r="P298" s="2" t="str">
        <f t="shared" si="46"/>
        <v/>
      </c>
      <c r="Q298" s="2" t="str">
        <f t="shared" si="47"/>
        <v/>
      </c>
      <c r="R298" s="2" t="str">
        <f t="shared" si="48"/>
        <v/>
      </c>
      <c r="S298" s="2" t="str">
        <f t="shared" si="49"/>
        <v/>
      </c>
      <c r="T298" s="2" t="str">
        <f t="shared" si="50"/>
        <v/>
      </c>
      <c r="U298" s="2" t="str">
        <f t="shared" si="51"/>
        <v/>
      </c>
      <c r="V298" s="2" t="b">
        <f t="shared" si="52"/>
        <v>0</v>
      </c>
      <c r="AA298" s="2" t="str">
        <f t="shared" si="53"/>
        <v/>
      </c>
      <c r="AB298" s="2" t="b">
        <f t="shared" si="54"/>
        <v>0</v>
      </c>
    </row>
    <row r="299" spans="1:28" x14ac:dyDescent="0.3">
      <c r="A299" s="2">
        <v>298</v>
      </c>
      <c r="B299" s="4"/>
      <c r="C299" s="4" t="s">
        <v>41</v>
      </c>
      <c r="D299" s="3"/>
      <c r="E299" s="3"/>
      <c r="F299" s="3"/>
      <c r="G299" s="3"/>
      <c r="H299" s="4"/>
      <c r="I299" s="4"/>
      <c r="J299" s="4"/>
      <c r="K299" s="4"/>
      <c r="L299" s="4"/>
      <c r="M299" s="4"/>
      <c r="N299" s="2" t="str">
        <f t="shared" si="44"/>
        <v/>
      </c>
      <c r="O299" s="2" t="str">
        <f t="shared" si="45"/>
        <v/>
      </c>
      <c r="P299" s="2" t="str">
        <f t="shared" si="46"/>
        <v/>
      </c>
      <c r="Q299" s="2" t="str">
        <f t="shared" si="47"/>
        <v/>
      </c>
      <c r="R299" s="2" t="str">
        <f t="shared" si="48"/>
        <v/>
      </c>
      <c r="S299" s="2" t="str">
        <f t="shared" si="49"/>
        <v/>
      </c>
      <c r="T299" s="2" t="str">
        <f t="shared" si="50"/>
        <v/>
      </c>
      <c r="U299" s="2" t="str">
        <f t="shared" si="51"/>
        <v/>
      </c>
      <c r="V299" s="2" t="b">
        <f t="shared" si="52"/>
        <v>0</v>
      </c>
      <c r="AA299" s="2" t="str">
        <f t="shared" si="53"/>
        <v/>
      </c>
      <c r="AB299" s="2" t="b">
        <f t="shared" si="54"/>
        <v>0</v>
      </c>
    </row>
    <row r="300" spans="1:28" x14ac:dyDescent="0.3">
      <c r="A300" s="2">
        <v>299</v>
      </c>
      <c r="B300" s="4"/>
      <c r="C300" s="4" t="s">
        <v>41</v>
      </c>
      <c r="D300" s="3"/>
      <c r="E300" s="3"/>
      <c r="F300" s="3"/>
      <c r="G300" s="3"/>
      <c r="H300" s="4"/>
      <c r="I300" s="4"/>
      <c r="J300" s="4"/>
      <c r="K300" s="4"/>
      <c r="L300" s="4"/>
      <c r="M300" s="4"/>
      <c r="N300" s="2" t="str">
        <f t="shared" si="44"/>
        <v/>
      </c>
      <c r="O300" s="2" t="str">
        <f t="shared" si="45"/>
        <v/>
      </c>
      <c r="P300" s="2" t="str">
        <f t="shared" si="46"/>
        <v/>
      </c>
      <c r="Q300" s="2" t="str">
        <f t="shared" si="47"/>
        <v/>
      </c>
      <c r="R300" s="2" t="str">
        <f t="shared" si="48"/>
        <v/>
      </c>
      <c r="S300" s="2" t="str">
        <f t="shared" si="49"/>
        <v/>
      </c>
      <c r="T300" s="2" t="str">
        <f t="shared" si="50"/>
        <v/>
      </c>
      <c r="U300" s="2" t="str">
        <f t="shared" si="51"/>
        <v/>
      </c>
      <c r="V300" s="2" t="b">
        <f t="shared" si="52"/>
        <v>0</v>
      </c>
      <c r="AA300" s="2" t="str">
        <f t="shared" si="53"/>
        <v/>
      </c>
      <c r="AB300" s="2" t="b">
        <f t="shared" si="54"/>
        <v>0</v>
      </c>
    </row>
    <row r="301" spans="1:28" x14ac:dyDescent="0.3">
      <c r="A301" s="2">
        <v>300</v>
      </c>
      <c r="B301" s="4"/>
      <c r="C301" s="4" t="s">
        <v>41</v>
      </c>
      <c r="D301" s="3"/>
      <c r="E301" s="3"/>
      <c r="F301" s="3"/>
      <c r="G301" s="3"/>
      <c r="H301" s="4"/>
      <c r="I301" s="4"/>
      <c r="J301" s="4"/>
      <c r="K301" s="4"/>
      <c r="L301" s="4"/>
      <c r="M301" s="4"/>
      <c r="N301" s="2" t="str">
        <f t="shared" si="44"/>
        <v/>
      </c>
      <c r="O301" s="2" t="str">
        <f t="shared" si="45"/>
        <v/>
      </c>
      <c r="P301" s="2" t="str">
        <f t="shared" si="46"/>
        <v/>
      </c>
      <c r="Q301" s="2" t="str">
        <f t="shared" si="47"/>
        <v/>
      </c>
      <c r="R301" s="2" t="str">
        <f t="shared" si="48"/>
        <v/>
      </c>
      <c r="S301" s="2" t="str">
        <f t="shared" si="49"/>
        <v/>
      </c>
      <c r="T301" s="2" t="str">
        <f t="shared" si="50"/>
        <v/>
      </c>
      <c r="U301" s="2" t="str">
        <f t="shared" si="51"/>
        <v/>
      </c>
      <c r="V301" s="2" t="b">
        <f t="shared" si="52"/>
        <v>0</v>
      </c>
      <c r="AA301" s="2" t="str">
        <f t="shared" si="53"/>
        <v/>
      </c>
      <c r="AB301" s="2" t="b">
        <f t="shared" si="54"/>
        <v>0</v>
      </c>
    </row>
    <row r="302" spans="1:28" x14ac:dyDescent="0.3">
      <c r="A302" s="2">
        <v>301</v>
      </c>
      <c r="B302" s="4"/>
      <c r="C302" s="4" t="s">
        <v>41</v>
      </c>
      <c r="D302" s="3"/>
      <c r="E302" s="3"/>
      <c r="F302" s="3"/>
      <c r="G302" s="3"/>
      <c r="H302" s="4"/>
      <c r="I302" s="4"/>
      <c r="J302" s="4"/>
      <c r="K302" s="4"/>
      <c r="L302" s="4"/>
      <c r="M302" s="4"/>
      <c r="N302" s="2" t="str">
        <f t="shared" si="44"/>
        <v/>
      </c>
      <c r="O302" s="2" t="str">
        <f t="shared" si="45"/>
        <v/>
      </c>
      <c r="P302" s="2" t="str">
        <f t="shared" si="46"/>
        <v/>
      </c>
      <c r="Q302" s="2" t="str">
        <f t="shared" si="47"/>
        <v/>
      </c>
      <c r="R302" s="2" t="str">
        <f t="shared" si="48"/>
        <v/>
      </c>
      <c r="S302" s="2" t="str">
        <f t="shared" si="49"/>
        <v/>
      </c>
      <c r="T302" s="2" t="str">
        <f t="shared" si="50"/>
        <v/>
      </c>
      <c r="U302" s="2" t="str">
        <f t="shared" si="51"/>
        <v/>
      </c>
      <c r="V302" s="2" t="b">
        <f t="shared" si="52"/>
        <v>0</v>
      </c>
      <c r="AA302" s="2" t="str">
        <f t="shared" si="53"/>
        <v/>
      </c>
      <c r="AB302" s="2" t="b">
        <f t="shared" si="54"/>
        <v>0</v>
      </c>
    </row>
    <row r="303" spans="1:28" x14ac:dyDescent="0.3">
      <c r="A303" s="2">
        <v>302</v>
      </c>
      <c r="B303" s="4"/>
      <c r="C303" s="4" t="s">
        <v>41</v>
      </c>
      <c r="D303" s="3"/>
      <c r="E303" s="3"/>
      <c r="F303" s="3"/>
      <c r="G303" s="3"/>
      <c r="H303" s="4"/>
      <c r="I303" s="4"/>
      <c r="J303" s="4"/>
      <c r="K303" s="4"/>
      <c r="L303" s="4"/>
      <c r="M303" s="4"/>
      <c r="N303" s="2" t="str">
        <f t="shared" si="44"/>
        <v/>
      </c>
      <c r="O303" s="2" t="str">
        <f t="shared" si="45"/>
        <v/>
      </c>
      <c r="P303" s="2" t="str">
        <f t="shared" si="46"/>
        <v/>
      </c>
      <c r="Q303" s="2" t="str">
        <f t="shared" si="47"/>
        <v/>
      </c>
      <c r="R303" s="2" t="str">
        <f t="shared" si="48"/>
        <v/>
      </c>
      <c r="S303" s="2" t="str">
        <f t="shared" si="49"/>
        <v/>
      </c>
      <c r="T303" s="2" t="str">
        <f t="shared" si="50"/>
        <v/>
      </c>
      <c r="U303" s="2" t="str">
        <f t="shared" si="51"/>
        <v/>
      </c>
      <c r="V303" s="2" t="b">
        <f t="shared" si="52"/>
        <v>0</v>
      </c>
      <c r="AA303" s="2" t="str">
        <f t="shared" si="53"/>
        <v/>
      </c>
      <c r="AB303" s="2" t="b">
        <f t="shared" si="54"/>
        <v>0</v>
      </c>
    </row>
    <row r="304" spans="1:28" x14ac:dyDescent="0.3">
      <c r="A304" s="2">
        <v>303</v>
      </c>
      <c r="B304" s="4"/>
      <c r="C304" s="4" t="s">
        <v>41</v>
      </c>
      <c r="D304" s="3"/>
      <c r="E304" s="3"/>
      <c r="F304" s="3"/>
      <c r="G304" s="3"/>
      <c r="H304" s="4"/>
      <c r="I304" s="4"/>
      <c r="J304" s="4"/>
      <c r="K304" s="4"/>
      <c r="L304" s="4"/>
      <c r="M304" s="4"/>
      <c r="N304" s="2" t="str">
        <f t="shared" si="44"/>
        <v/>
      </c>
      <c r="O304" s="2" t="str">
        <f t="shared" si="45"/>
        <v/>
      </c>
      <c r="P304" s="2" t="str">
        <f t="shared" si="46"/>
        <v/>
      </c>
      <c r="Q304" s="2" t="str">
        <f t="shared" si="47"/>
        <v/>
      </c>
      <c r="R304" s="2" t="str">
        <f t="shared" si="48"/>
        <v/>
      </c>
      <c r="S304" s="2" t="str">
        <f t="shared" si="49"/>
        <v/>
      </c>
      <c r="T304" s="2" t="str">
        <f t="shared" si="50"/>
        <v/>
      </c>
      <c r="U304" s="2" t="str">
        <f t="shared" si="51"/>
        <v/>
      </c>
      <c r="V304" s="2" t="b">
        <f t="shared" si="52"/>
        <v>0</v>
      </c>
      <c r="AA304" s="2" t="str">
        <f t="shared" si="53"/>
        <v/>
      </c>
      <c r="AB304" s="2" t="b">
        <f t="shared" si="54"/>
        <v>0</v>
      </c>
    </row>
    <row r="305" spans="1:28" x14ac:dyDescent="0.3">
      <c r="A305" s="2">
        <v>304</v>
      </c>
      <c r="B305" s="4"/>
      <c r="C305" s="4" t="s">
        <v>41</v>
      </c>
      <c r="D305" s="3"/>
      <c r="E305" s="3"/>
      <c r="F305" s="3"/>
      <c r="G305" s="3"/>
      <c r="H305" s="4"/>
      <c r="I305" s="4"/>
      <c r="J305" s="4"/>
      <c r="K305" s="4"/>
      <c r="L305" s="4"/>
      <c r="M305" s="4"/>
      <c r="N305" s="2" t="str">
        <f t="shared" si="44"/>
        <v/>
      </c>
      <c r="O305" s="2" t="str">
        <f t="shared" si="45"/>
        <v/>
      </c>
      <c r="P305" s="2" t="str">
        <f t="shared" si="46"/>
        <v/>
      </c>
      <c r="Q305" s="2" t="str">
        <f t="shared" si="47"/>
        <v/>
      </c>
      <c r="R305" s="2" t="str">
        <f t="shared" si="48"/>
        <v/>
      </c>
      <c r="S305" s="2" t="str">
        <f t="shared" si="49"/>
        <v/>
      </c>
      <c r="T305" s="2" t="str">
        <f t="shared" si="50"/>
        <v/>
      </c>
      <c r="U305" s="2" t="str">
        <f t="shared" si="51"/>
        <v/>
      </c>
      <c r="V305" s="2" t="b">
        <f t="shared" si="52"/>
        <v>0</v>
      </c>
      <c r="AA305" s="2" t="str">
        <f t="shared" si="53"/>
        <v/>
      </c>
      <c r="AB305" s="2" t="b">
        <f t="shared" si="54"/>
        <v>0</v>
      </c>
    </row>
    <row r="306" spans="1:28" x14ac:dyDescent="0.3">
      <c r="A306" s="2">
        <v>305</v>
      </c>
      <c r="B306" s="4"/>
      <c r="C306" s="4" t="s">
        <v>41</v>
      </c>
      <c r="D306" s="3"/>
      <c r="E306" s="3"/>
      <c r="F306" s="3"/>
      <c r="G306" s="3"/>
      <c r="H306" s="4"/>
      <c r="I306" s="4"/>
      <c r="J306" s="4"/>
      <c r="K306" s="4"/>
      <c r="L306" s="4"/>
      <c r="M306" s="4"/>
      <c r="N306" s="2" t="str">
        <f t="shared" si="44"/>
        <v/>
      </c>
      <c r="O306" s="2" t="str">
        <f t="shared" si="45"/>
        <v/>
      </c>
      <c r="P306" s="2" t="str">
        <f t="shared" si="46"/>
        <v/>
      </c>
      <c r="Q306" s="2" t="str">
        <f t="shared" si="47"/>
        <v/>
      </c>
      <c r="R306" s="2" t="str">
        <f t="shared" si="48"/>
        <v/>
      </c>
      <c r="S306" s="2" t="str">
        <f t="shared" si="49"/>
        <v/>
      </c>
      <c r="T306" s="2" t="str">
        <f t="shared" si="50"/>
        <v/>
      </c>
      <c r="U306" s="2" t="str">
        <f t="shared" si="51"/>
        <v/>
      </c>
      <c r="V306" s="2" t="b">
        <f t="shared" si="52"/>
        <v>0</v>
      </c>
      <c r="AA306" s="2" t="str">
        <f t="shared" si="53"/>
        <v/>
      </c>
      <c r="AB306" s="2" t="b">
        <f t="shared" si="54"/>
        <v>0</v>
      </c>
    </row>
    <row r="307" spans="1:28" x14ac:dyDescent="0.3">
      <c r="A307" s="2">
        <v>306</v>
      </c>
      <c r="B307" s="4"/>
      <c r="C307" s="4" t="s">
        <v>41</v>
      </c>
      <c r="D307" s="3"/>
      <c r="E307" s="3"/>
      <c r="F307" s="3"/>
      <c r="G307" s="3"/>
      <c r="H307" s="4"/>
      <c r="I307" s="4"/>
      <c r="J307" s="4"/>
      <c r="K307" s="4"/>
      <c r="L307" s="4"/>
      <c r="M307" s="4"/>
      <c r="N307" s="2" t="str">
        <f t="shared" si="44"/>
        <v/>
      </c>
      <c r="O307" s="2" t="str">
        <f t="shared" si="45"/>
        <v/>
      </c>
      <c r="P307" s="2" t="str">
        <f t="shared" si="46"/>
        <v/>
      </c>
      <c r="Q307" s="2" t="str">
        <f t="shared" si="47"/>
        <v/>
      </c>
      <c r="R307" s="2" t="str">
        <f t="shared" si="48"/>
        <v/>
      </c>
      <c r="S307" s="2" t="str">
        <f t="shared" si="49"/>
        <v/>
      </c>
      <c r="T307" s="2" t="str">
        <f t="shared" si="50"/>
        <v/>
      </c>
      <c r="U307" s="2" t="str">
        <f t="shared" si="51"/>
        <v/>
      </c>
      <c r="V307" s="2" t="b">
        <f t="shared" si="52"/>
        <v>0</v>
      </c>
      <c r="AA307" s="2" t="str">
        <f t="shared" si="53"/>
        <v/>
      </c>
      <c r="AB307" s="2" t="b">
        <f t="shared" si="54"/>
        <v>0</v>
      </c>
    </row>
    <row r="308" spans="1:28" x14ac:dyDescent="0.3">
      <c r="A308" s="2">
        <v>307</v>
      </c>
      <c r="B308" s="4"/>
      <c r="C308" s="4" t="s">
        <v>41</v>
      </c>
      <c r="D308" s="3"/>
      <c r="E308" s="3"/>
      <c r="F308" s="3"/>
      <c r="G308" s="3"/>
      <c r="H308" s="4"/>
      <c r="I308" s="4"/>
      <c r="J308" s="4"/>
      <c r="K308" s="4"/>
      <c r="L308" s="4"/>
      <c r="M308" s="4"/>
      <c r="N308" s="2" t="str">
        <f t="shared" si="44"/>
        <v/>
      </c>
      <c r="O308" s="2" t="str">
        <f t="shared" si="45"/>
        <v/>
      </c>
      <c r="P308" s="2" t="str">
        <f t="shared" si="46"/>
        <v/>
      </c>
      <c r="Q308" s="2" t="str">
        <f t="shared" si="47"/>
        <v/>
      </c>
      <c r="R308" s="2" t="str">
        <f t="shared" si="48"/>
        <v/>
      </c>
      <c r="S308" s="2" t="str">
        <f t="shared" si="49"/>
        <v/>
      </c>
      <c r="T308" s="2" t="str">
        <f t="shared" si="50"/>
        <v/>
      </c>
      <c r="U308" s="2" t="str">
        <f t="shared" si="51"/>
        <v/>
      </c>
      <c r="V308" s="2" t="b">
        <f t="shared" si="52"/>
        <v>0</v>
      </c>
      <c r="AA308" s="2" t="str">
        <f t="shared" si="53"/>
        <v/>
      </c>
      <c r="AB308" s="2" t="b">
        <f t="shared" si="54"/>
        <v>0</v>
      </c>
    </row>
    <row r="309" spans="1:28" x14ac:dyDescent="0.3">
      <c r="A309" s="2">
        <v>308</v>
      </c>
      <c r="B309" s="4"/>
      <c r="C309" s="4" t="s">
        <v>41</v>
      </c>
      <c r="D309" s="3"/>
      <c r="E309" s="3"/>
      <c r="F309" s="3"/>
      <c r="G309" s="3"/>
      <c r="H309" s="4"/>
      <c r="I309" s="4"/>
      <c r="J309" s="4"/>
      <c r="K309" s="4"/>
      <c r="L309" s="4"/>
      <c r="M309" s="4"/>
      <c r="N309" s="2" t="str">
        <f t="shared" si="44"/>
        <v/>
      </c>
      <c r="O309" s="2" t="str">
        <f t="shared" si="45"/>
        <v/>
      </c>
      <c r="P309" s="2" t="str">
        <f t="shared" si="46"/>
        <v/>
      </c>
      <c r="Q309" s="2" t="str">
        <f t="shared" si="47"/>
        <v/>
      </c>
      <c r="R309" s="2" t="str">
        <f t="shared" si="48"/>
        <v/>
      </c>
      <c r="S309" s="2" t="str">
        <f t="shared" si="49"/>
        <v/>
      </c>
      <c r="T309" s="2" t="str">
        <f t="shared" si="50"/>
        <v/>
      </c>
      <c r="U309" s="2" t="str">
        <f t="shared" si="51"/>
        <v/>
      </c>
      <c r="V309" s="2" t="b">
        <f t="shared" si="52"/>
        <v>0</v>
      </c>
      <c r="AA309" s="2" t="str">
        <f t="shared" si="53"/>
        <v/>
      </c>
      <c r="AB309" s="2" t="b">
        <f t="shared" si="54"/>
        <v>0</v>
      </c>
    </row>
    <row r="310" spans="1:28" x14ac:dyDescent="0.3">
      <c r="A310" s="2">
        <v>309</v>
      </c>
      <c r="B310" s="4"/>
      <c r="C310" s="4" t="s">
        <v>41</v>
      </c>
      <c r="D310" s="3"/>
      <c r="E310" s="3"/>
      <c r="F310" s="3"/>
      <c r="G310" s="3"/>
      <c r="H310" s="4"/>
      <c r="I310" s="4"/>
      <c r="J310" s="4"/>
      <c r="K310" s="4"/>
      <c r="L310" s="4"/>
      <c r="M310" s="4"/>
      <c r="N310" s="2" t="str">
        <f t="shared" si="44"/>
        <v/>
      </c>
      <c r="O310" s="2" t="str">
        <f t="shared" si="45"/>
        <v/>
      </c>
      <c r="P310" s="2" t="str">
        <f t="shared" si="46"/>
        <v/>
      </c>
      <c r="Q310" s="2" t="str">
        <f t="shared" si="47"/>
        <v/>
      </c>
      <c r="R310" s="2" t="str">
        <f t="shared" si="48"/>
        <v/>
      </c>
      <c r="S310" s="2" t="str">
        <f t="shared" si="49"/>
        <v/>
      </c>
      <c r="T310" s="2" t="str">
        <f t="shared" si="50"/>
        <v/>
      </c>
      <c r="U310" s="2" t="str">
        <f t="shared" si="51"/>
        <v/>
      </c>
      <c r="V310" s="2" t="b">
        <f t="shared" si="52"/>
        <v>0</v>
      </c>
      <c r="AA310" s="2" t="str">
        <f t="shared" si="53"/>
        <v/>
      </c>
      <c r="AB310" s="2" t="b">
        <f t="shared" si="54"/>
        <v>0</v>
      </c>
    </row>
    <row r="311" spans="1:28" x14ac:dyDescent="0.3">
      <c r="A311" s="2">
        <v>310</v>
      </c>
      <c r="B311" s="4"/>
      <c r="C311" s="4" t="s">
        <v>41</v>
      </c>
      <c r="D311" s="3"/>
      <c r="E311" s="3"/>
      <c r="F311" s="3"/>
      <c r="G311" s="3"/>
      <c r="H311" s="4"/>
      <c r="I311" s="4"/>
      <c r="J311" s="4"/>
      <c r="K311" s="4"/>
      <c r="L311" s="4"/>
      <c r="M311" s="4"/>
      <c r="N311" s="2" t="str">
        <f t="shared" si="44"/>
        <v/>
      </c>
      <c r="O311" s="2" t="str">
        <f t="shared" si="45"/>
        <v/>
      </c>
      <c r="P311" s="2" t="str">
        <f t="shared" si="46"/>
        <v/>
      </c>
      <c r="Q311" s="2" t="str">
        <f t="shared" si="47"/>
        <v/>
      </c>
      <c r="R311" s="2" t="str">
        <f t="shared" si="48"/>
        <v/>
      </c>
      <c r="S311" s="2" t="str">
        <f t="shared" si="49"/>
        <v/>
      </c>
      <c r="T311" s="2" t="str">
        <f t="shared" si="50"/>
        <v/>
      </c>
      <c r="U311" s="2" t="str">
        <f t="shared" si="51"/>
        <v/>
      </c>
      <c r="V311" s="2" t="b">
        <f t="shared" si="52"/>
        <v>0</v>
      </c>
      <c r="AA311" s="2" t="str">
        <f t="shared" si="53"/>
        <v/>
      </c>
      <c r="AB311" s="2" t="b">
        <f t="shared" si="54"/>
        <v>0</v>
      </c>
    </row>
    <row r="312" spans="1:28" x14ac:dyDescent="0.3">
      <c r="A312" s="2">
        <v>311</v>
      </c>
      <c r="B312" s="4"/>
      <c r="C312" s="4" t="s">
        <v>41</v>
      </c>
      <c r="D312" s="3"/>
      <c r="E312" s="3"/>
      <c r="F312" s="3"/>
      <c r="G312" s="3"/>
      <c r="H312" s="4"/>
      <c r="I312" s="4"/>
      <c r="J312" s="4"/>
      <c r="K312" s="4"/>
      <c r="L312" s="4"/>
      <c r="M312" s="4"/>
      <c r="N312" s="2" t="str">
        <f t="shared" si="44"/>
        <v/>
      </c>
      <c r="O312" s="2" t="str">
        <f t="shared" si="45"/>
        <v/>
      </c>
      <c r="P312" s="2" t="str">
        <f t="shared" si="46"/>
        <v/>
      </c>
      <c r="Q312" s="2" t="str">
        <f t="shared" si="47"/>
        <v/>
      </c>
      <c r="R312" s="2" t="str">
        <f t="shared" si="48"/>
        <v/>
      </c>
      <c r="S312" s="2" t="str">
        <f t="shared" si="49"/>
        <v/>
      </c>
      <c r="T312" s="2" t="str">
        <f t="shared" si="50"/>
        <v/>
      </c>
      <c r="U312" s="2" t="str">
        <f t="shared" si="51"/>
        <v/>
      </c>
      <c r="V312" s="2" t="b">
        <f t="shared" si="52"/>
        <v>0</v>
      </c>
      <c r="AA312" s="2" t="str">
        <f t="shared" si="53"/>
        <v/>
      </c>
      <c r="AB312" s="2" t="b">
        <f t="shared" si="54"/>
        <v>0</v>
      </c>
    </row>
    <row r="313" spans="1:28" x14ac:dyDescent="0.3">
      <c r="A313" s="2">
        <v>312</v>
      </c>
      <c r="B313" s="4"/>
      <c r="C313" s="4" t="s">
        <v>41</v>
      </c>
      <c r="D313" s="3"/>
      <c r="E313" s="3"/>
      <c r="F313" s="3"/>
      <c r="G313" s="3"/>
      <c r="H313" s="4"/>
      <c r="I313" s="4"/>
      <c r="J313" s="4"/>
      <c r="K313" s="4"/>
      <c r="L313" s="4"/>
      <c r="M313" s="4"/>
      <c r="N313" s="2" t="str">
        <f t="shared" si="44"/>
        <v/>
      </c>
      <c r="O313" s="2" t="str">
        <f t="shared" si="45"/>
        <v/>
      </c>
      <c r="P313" s="2" t="str">
        <f t="shared" si="46"/>
        <v/>
      </c>
      <c r="Q313" s="2" t="str">
        <f t="shared" si="47"/>
        <v/>
      </c>
      <c r="R313" s="2" t="str">
        <f t="shared" si="48"/>
        <v/>
      </c>
      <c r="S313" s="2" t="str">
        <f t="shared" si="49"/>
        <v/>
      </c>
      <c r="T313" s="2" t="str">
        <f t="shared" si="50"/>
        <v/>
      </c>
      <c r="U313" s="2" t="str">
        <f t="shared" si="51"/>
        <v/>
      </c>
      <c r="V313" s="2" t="b">
        <f t="shared" si="52"/>
        <v>0</v>
      </c>
      <c r="AA313" s="2" t="str">
        <f t="shared" si="53"/>
        <v/>
      </c>
      <c r="AB313" s="2" t="b">
        <f t="shared" si="54"/>
        <v>0</v>
      </c>
    </row>
    <row r="314" spans="1:28" x14ac:dyDescent="0.3">
      <c r="A314" s="2">
        <v>313</v>
      </c>
      <c r="B314" s="4"/>
      <c r="C314" s="4" t="s">
        <v>41</v>
      </c>
      <c r="D314" s="3"/>
      <c r="E314" s="3"/>
      <c r="F314" s="3"/>
      <c r="G314" s="3"/>
      <c r="H314" s="4"/>
      <c r="I314" s="4"/>
      <c r="J314" s="4"/>
      <c r="K314" s="4"/>
      <c r="L314" s="4"/>
      <c r="M314" s="4"/>
      <c r="N314" s="2" t="str">
        <f t="shared" si="44"/>
        <v/>
      </c>
      <c r="O314" s="2" t="str">
        <f t="shared" si="45"/>
        <v/>
      </c>
      <c r="P314" s="2" t="str">
        <f t="shared" si="46"/>
        <v/>
      </c>
      <c r="Q314" s="2" t="str">
        <f t="shared" si="47"/>
        <v/>
      </c>
      <c r="R314" s="2" t="str">
        <f t="shared" si="48"/>
        <v/>
      </c>
      <c r="S314" s="2" t="str">
        <f t="shared" si="49"/>
        <v/>
      </c>
      <c r="T314" s="2" t="str">
        <f t="shared" si="50"/>
        <v/>
      </c>
      <c r="U314" s="2" t="str">
        <f t="shared" si="51"/>
        <v/>
      </c>
      <c r="V314" s="2" t="b">
        <f t="shared" si="52"/>
        <v>0</v>
      </c>
      <c r="AA314" s="2" t="str">
        <f t="shared" si="53"/>
        <v/>
      </c>
      <c r="AB314" s="2" t="b">
        <f t="shared" si="54"/>
        <v>0</v>
      </c>
    </row>
    <row r="315" spans="1:28" x14ac:dyDescent="0.3">
      <c r="A315" s="2">
        <v>314</v>
      </c>
      <c r="B315" s="4"/>
      <c r="C315" s="4" t="s">
        <v>41</v>
      </c>
      <c r="D315" s="3"/>
      <c r="E315" s="3"/>
      <c r="F315" s="3"/>
      <c r="G315" s="3"/>
      <c r="H315" s="4"/>
      <c r="I315" s="4"/>
      <c r="J315" s="4"/>
      <c r="K315" s="4"/>
      <c r="L315" s="4"/>
      <c r="M315" s="4"/>
      <c r="N315" s="2" t="str">
        <f t="shared" si="44"/>
        <v/>
      </c>
      <c r="O315" s="2" t="str">
        <f t="shared" si="45"/>
        <v/>
      </c>
      <c r="P315" s="2" t="str">
        <f t="shared" si="46"/>
        <v/>
      </c>
      <c r="Q315" s="2" t="str">
        <f t="shared" si="47"/>
        <v/>
      </c>
      <c r="R315" s="2" t="str">
        <f t="shared" si="48"/>
        <v/>
      </c>
      <c r="S315" s="2" t="str">
        <f t="shared" si="49"/>
        <v/>
      </c>
      <c r="T315" s="2" t="str">
        <f t="shared" si="50"/>
        <v/>
      </c>
      <c r="U315" s="2" t="str">
        <f t="shared" si="51"/>
        <v/>
      </c>
      <c r="V315" s="2" t="b">
        <f t="shared" si="52"/>
        <v>0</v>
      </c>
      <c r="AA315" s="2" t="str">
        <f t="shared" si="53"/>
        <v/>
      </c>
      <c r="AB315" s="2" t="b">
        <f t="shared" si="54"/>
        <v>0</v>
      </c>
    </row>
    <row r="316" spans="1:28" x14ac:dyDescent="0.3">
      <c r="A316" s="2">
        <v>315</v>
      </c>
      <c r="B316" s="4"/>
      <c r="C316" s="4" t="s">
        <v>41</v>
      </c>
      <c r="D316" s="3"/>
      <c r="E316" s="3"/>
      <c r="F316" s="3"/>
      <c r="G316" s="3"/>
      <c r="H316" s="4"/>
      <c r="I316" s="4"/>
      <c r="J316" s="4"/>
      <c r="K316" s="4"/>
      <c r="L316" s="4"/>
      <c r="M316" s="4"/>
      <c r="N316" s="2" t="str">
        <f t="shared" si="44"/>
        <v/>
      </c>
      <c r="O316" s="2" t="str">
        <f t="shared" si="45"/>
        <v/>
      </c>
      <c r="P316" s="2" t="str">
        <f t="shared" si="46"/>
        <v/>
      </c>
      <c r="Q316" s="2" t="str">
        <f t="shared" si="47"/>
        <v/>
      </c>
      <c r="R316" s="2" t="str">
        <f t="shared" si="48"/>
        <v/>
      </c>
      <c r="S316" s="2" t="str">
        <f t="shared" si="49"/>
        <v/>
      </c>
      <c r="T316" s="2" t="str">
        <f t="shared" si="50"/>
        <v/>
      </c>
      <c r="U316" s="2" t="str">
        <f t="shared" si="51"/>
        <v/>
      </c>
      <c r="V316" s="2" t="b">
        <f t="shared" si="52"/>
        <v>0</v>
      </c>
      <c r="AA316" s="2" t="str">
        <f t="shared" si="53"/>
        <v/>
      </c>
      <c r="AB316" s="2" t="b">
        <f t="shared" si="54"/>
        <v>0</v>
      </c>
    </row>
    <row r="317" spans="1:28" x14ac:dyDescent="0.3">
      <c r="A317" s="2">
        <v>316</v>
      </c>
      <c r="B317" s="4"/>
      <c r="C317" s="4" t="s">
        <v>41</v>
      </c>
      <c r="D317" s="3"/>
      <c r="E317" s="3"/>
      <c r="F317" s="3"/>
      <c r="G317" s="3"/>
      <c r="H317" s="4"/>
      <c r="I317" s="4"/>
      <c r="J317" s="4"/>
      <c r="K317" s="4"/>
      <c r="L317" s="4"/>
      <c r="M317" s="4"/>
      <c r="N317" s="2" t="str">
        <f t="shared" si="44"/>
        <v/>
      </c>
      <c r="O317" s="2" t="str">
        <f t="shared" si="45"/>
        <v/>
      </c>
      <c r="P317" s="2" t="str">
        <f t="shared" si="46"/>
        <v/>
      </c>
      <c r="Q317" s="2" t="str">
        <f t="shared" si="47"/>
        <v/>
      </c>
      <c r="R317" s="2" t="str">
        <f t="shared" si="48"/>
        <v/>
      </c>
      <c r="S317" s="2" t="str">
        <f t="shared" si="49"/>
        <v/>
      </c>
      <c r="T317" s="2" t="str">
        <f t="shared" si="50"/>
        <v/>
      </c>
      <c r="U317" s="2" t="str">
        <f t="shared" si="51"/>
        <v/>
      </c>
      <c r="V317" s="2" t="b">
        <f t="shared" si="52"/>
        <v>0</v>
      </c>
      <c r="AA317" s="2" t="str">
        <f t="shared" si="53"/>
        <v/>
      </c>
      <c r="AB317" s="2" t="b">
        <f t="shared" si="54"/>
        <v>0</v>
      </c>
    </row>
    <row r="318" spans="1:28" x14ac:dyDescent="0.3">
      <c r="A318" s="2">
        <v>317</v>
      </c>
      <c r="B318" s="4"/>
      <c r="C318" s="4" t="s">
        <v>41</v>
      </c>
      <c r="D318" s="3"/>
      <c r="E318" s="3"/>
      <c r="F318" s="3"/>
      <c r="G318" s="3"/>
      <c r="H318" s="4"/>
      <c r="I318" s="4"/>
      <c r="J318" s="4"/>
      <c r="K318" s="4"/>
      <c r="L318" s="4"/>
      <c r="M318" s="4"/>
      <c r="N318" s="2" t="str">
        <f t="shared" si="44"/>
        <v/>
      </c>
      <c r="O318" s="2" t="str">
        <f t="shared" si="45"/>
        <v/>
      </c>
      <c r="P318" s="2" t="str">
        <f t="shared" si="46"/>
        <v/>
      </c>
      <c r="Q318" s="2" t="str">
        <f t="shared" si="47"/>
        <v/>
      </c>
      <c r="R318" s="2" t="str">
        <f t="shared" si="48"/>
        <v/>
      </c>
      <c r="S318" s="2" t="str">
        <f t="shared" si="49"/>
        <v/>
      </c>
      <c r="T318" s="2" t="str">
        <f t="shared" si="50"/>
        <v/>
      </c>
      <c r="U318" s="2" t="str">
        <f t="shared" si="51"/>
        <v/>
      </c>
      <c r="V318" s="2" t="b">
        <f t="shared" si="52"/>
        <v>0</v>
      </c>
      <c r="AA318" s="2" t="str">
        <f t="shared" si="53"/>
        <v/>
      </c>
      <c r="AB318" s="2" t="b">
        <f t="shared" si="54"/>
        <v>0</v>
      </c>
    </row>
    <row r="319" spans="1:28" x14ac:dyDescent="0.3">
      <c r="A319" s="2">
        <v>318</v>
      </c>
      <c r="B319" s="4"/>
      <c r="C319" s="4" t="s">
        <v>41</v>
      </c>
      <c r="D319" s="3"/>
      <c r="E319" s="3"/>
      <c r="F319" s="3"/>
      <c r="G319" s="3"/>
      <c r="H319" s="4"/>
      <c r="I319" s="4"/>
      <c r="J319" s="4"/>
      <c r="K319" s="4"/>
      <c r="L319" s="4"/>
      <c r="M319" s="4"/>
      <c r="N319" s="2" t="str">
        <f t="shared" si="44"/>
        <v/>
      </c>
      <c r="O319" s="2" t="str">
        <f t="shared" si="45"/>
        <v/>
      </c>
      <c r="P319" s="2" t="str">
        <f t="shared" si="46"/>
        <v/>
      </c>
      <c r="Q319" s="2" t="str">
        <f t="shared" si="47"/>
        <v/>
      </c>
      <c r="R319" s="2" t="str">
        <f t="shared" si="48"/>
        <v/>
      </c>
      <c r="S319" s="2" t="str">
        <f t="shared" si="49"/>
        <v/>
      </c>
      <c r="T319" s="2" t="str">
        <f t="shared" si="50"/>
        <v/>
      </c>
      <c r="U319" s="2" t="str">
        <f t="shared" si="51"/>
        <v/>
      </c>
      <c r="V319" s="2" t="b">
        <f t="shared" si="52"/>
        <v>0</v>
      </c>
      <c r="AA319" s="2" t="str">
        <f t="shared" si="53"/>
        <v/>
      </c>
      <c r="AB319" s="2" t="b">
        <f t="shared" si="54"/>
        <v>0</v>
      </c>
    </row>
    <row r="320" spans="1:28" x14ac:dyDescent="0.3">
      <c r="A320" s="2">
        <v>319</v>
      </c>
      <c r="B320" s="4"/>
      <c r="C320" s="4" t="s">
        <v>41</v>
      </c>
      <c r="D320" s="3"/>
      <c r="E320" s="3"/>
      <c r="F320" s="3"/>
      <c r="G320" s="3"/>
      <c r="H320" s="4"/>
      <c r="I320" s="4"/>
      <c r="J320" s="4"/>
      <c r="K320" s="4"/>
      <c r="L320" s="4"/>
      <c r="M320" s="4"/>
      <c r="N320" s="2" t="str">
        <f t="shared" si="44"/>
        <v/>
      </c>
      <c r="O320" s="2" t="str">
        <f t="shared" si="45"/>
        <v/>
      </c>
      <c r="P320" s="2" t="str">
        <f t="shared" si="46"/>
        <v/>
      </c>
      <c r="Q320" s="2" t="str">
        <f t="shared" si="47"/>
        <v/>
      </c>
      <c r="R320" s="2" t="str">
        <f t="shared" si="48"/>
        <v/>
      </c>
      <c r="S320" s="2" t="str">
        <f t="shared" si="49"/>
        <v/>
      </c>
      <c r="T320" s="2" t="str">
        <f t="shared" si="50"/>
        <v/>
      </c>
      <c r="U320" s="2" t="str">
        <f t="shared" si="51"/>
        <v/>
      </c>
      <c r="V320" s="2" t="b">
        <f t="shared" si="52"/>
        <v>0</v>
      </c>
      <c r="AA320" s="2" t="str">
        <f t="shared" si="53"/>
        <v/>
      </c>
      <c r="AB320" s="2" t="b">
        <f t="shared" si="54"/>
        <v>0</v>
      </c>
    </row>
    <row r="321" spans="1:28" x14ac:dyDescent="0.3">
      <c r="A321" s="2">
        <v>320</v>
      </c>
      <c r="B321" s="4"/>
      <c r="C321" s="4" t="s">
        <v>41</v>
      </c>
      <c r="D321" s="3"/>
      <c r="E321" s="3"/>
      <c r="F321" s="3"/>
      <c r="G321" s="3"/>
      <c r="H321" s="4"/>
      <c r="I321" s="4"/>
      <c r="J321" s="4"/>
      <c r="K321" s="4"/>
      <c r="L321" s="4"/>
      <c r="M321" s="4"/>
      <c r="N321" s="2" t="str">
        <f t="shared" si="44"/>
        <v/>
      </c>
      <c r="O321" s="2" t="str">
        <f t="shared" si="45"/>
        <v/>
      </c>
      <c r="P321" s="2" t="str">
        <f t="shared" si="46"/>
        <v/>
      </c>
      <c r="Q321" s="2" t="str">
        <f t="shared" si="47"/>
        <v/>
      </c>
      <c r="R321" s="2" t="str">
        <f t="shared" si="48"/>
        <v/>
      </c>
      <c r="S321" s="2" t="str">
        <f t="shared" si="49"/>
        <v/>
      </c>
      <c r="T321" s="2" t="str">
        <f t="shared" si="50"/>
        <v/>
      </c>
      <c r="U321" s="2" t="str">
        <f t="shared" si="51"/>
        <v/>
      </c>
      <c r="V321" s="2" t="b">
        <f t="shared" si="52"/>
        <v>0</v>
      </c>
      <c r="AA321" s="2" t="str">
        <f t="shared" si="53"/>
        <v/>
      </c>
      <c r="AB321" s="2" t="b">
        <f t="shared" si="54"/>
        <v>0</v>
      </c>
    </row>
    <row r="322" spans="1:28" x14ac:dyDescent="0.3">
      <c r="A322" s="2">
        <v>321</v>
      </c>
      <c r="B322" s="4"/>
      <c r="C322" s="4" t="s">
        <v>41</v>
      </c>
      <c r="D322" s="3"/>
      <c r="E322" s="3"/>
      <c r="F322" s="3"/>
      <c r="G322" s="3"/>
      <c r="H322" s="4"/>
      <c r="I322" s="4"/>
      <c r="J322" s="4"/>
      <c r="K322" s="4"/>
      <c r="L322" s="4"/>
      <c r="M322" s="4"/>
      <c r="N322" s="2" t="str">
        <f t="shared" ref="N322:N385" si="55">IF(OR(H322="",I322="",J322="",K322=""),"",(IF(H322&gt;I322,1,0)+IF(J322&gt;K322,1,0)+IF(AND(L322&lt;&gt;"",M322&lt;&gt;""),IF(L322&gt;M322,1,0),0)))</f>
        <v/>
      </c>
      <c r="O322" s="2" t="str">
        <f t="shared" ref="O322:O385" si="56">IF(N322="","",(IF(H322&lt;I322,1,0)+IF(J322&lt;K322,1,0)+IF(AND(L322&lt;&gt;"",M322&lt;&gt;""),IF(L322&lt;M322,1,0),0)))</f>
        <v/>
      </c>
      <c r="P322" s="2" t="str">
        <f t="shared" ref="P322:P385" si="57">IF(N322="","",IF(N322&gt;O322,"A","B"))</f>
        <v/>
      </c>
      <c r="Q322" s="2" t="str">
        <f t="shared" ref="Q322:Q385" si="58">IF(N322="","",H322+J322+IF(L322="",0,L322))</f>
        <v/>
      </c>
      <c r="R322" s="2" t="str">
        <f t="shared" ref="R322:R385" si="59">IF(N322="","",I322+K322+IF(M322="",0,M322))</f>
        <v/>
      </c>
      <c r="S322" s="2" t="str">
        <f t="shared" ref="S322:S385" si="60">IF(N322="","",Q322-R322)</f>
        <v/>
      </c>
      <c r="T322" s="2" t="str">
        <f t="shared" ref="T322:T385" si="61">IF(OR(C322&lt;&gt;$X$2,P322=""),"",MIN(MAX(0,S322)*$X$5,$X$6))</f>
        <v/>
      </c>
      <c r="U322" s="2" t="str">
        <f t="shared" ref="U322:U385" si="62">IF(OR(C322&lt;&gt;$X$2,P322=""),"",MIN(MAX(0,-S322)*$X$5,$X$6))</f>
        <v/>
      </c>
      <c r="V322" s="2" t="b">
        <f t="shared" ref="V322:V385" si="63">IF($Z$2="","",OR($D322=$Z$2,$E322=$Z$2,$F322=$Z$2,$G322=$Z$2))</f>
        <v>0</v>
      </c>
      <c r="AA322" s="2" t="str">
        <f t="shared" ref="AA322:AA385" si="64">IF($B322="","",YEAR($B322))</f>
        <v/>
      </c>
      <c r="AB322" s="2" t="b">
        <f t="shared" ref="AB322:AB385" si="65">IF($Z$5="Todas",TRUE,$AA322=$Z$5)</f>
        <v>0</v>
      </c>
    </row>
    <row r="323" spans="1:28" x14ac:dyDescent="0.3">
      <c r="A323" s="2">
        <v>322</v>
      </c>
      <c r="B323" s="4"/>
      <c r="C323" s="4" t="s">
        <v>41</v>
      </c>
      <c r="D323" s="3"/>
      <c r="E323" s="3"/>
      <c r="F323" s="3"/>
      <c r="G323" s="3"/>
      <c r="H323" s="4"/>
      <c r="I323" s="4"/>
      <c r="J323" s="4"/>
      <c r="K323" s="4"/>
      <c r="L323" s="4"/>
      <c r="M323" s="4"/>
      <c r="N323" s="2" t="str">
        <f t="shared" si="55"/>
        <v/>
      </c>
      <c r="O323" s="2" t="str">
        <f t="shared" si="56"/>
        <v/>
      </c>
      <c r="P323" s="2" t="str">
        <f t="shared" si="57"/>
        <v/>
      </c>
      <c r="Q323" s="2" t="str">
        <f t="shared" si="58"/>
        <v/>
      </c>
      <c r="R323" s="2" t="str">
        <f t="shared" si="59"/>
        <v/>
      </c>
      <c r="S323" s="2" t="str">
        <f t="shared" si="60"/>
        <v/>
      </c>
      <c r="T323" s="2" t="str">
        <f t="shared" si="61"/>
        <v/>
      </c>
      <c r="U323" s="2" t="str">
        <f t="shared" si="62"/>
        <v/>
      </c>
      <c r="V323" s="2" t="b">
        <f t="shared" si="63"/>
        <v>0</v>
      </c>
      <c r="AA323" s="2" t="str">
        <f t="shared" si="64"/>
        <v/>
      </c>
      <c r="AB323" s="2" t="b">
        <f t="shared" si="65"/>
        <v>0</v>
      </c>
    </row>
    <row r="324" spans="1:28" x14ac:dyDescent="0.3">
      <c r="A324" s="2">
        <v>323</v>
      </c>
      <c r="B324" s="4"/>
      <c r="C324" s="4" t="s">
        <v>41</v>
      </c>
      <c r="D324" s="3"/>
      <c r="E324" s="3"/>
      <c r="F324" s="3"/>
      <c r="G324" s="3"/>
      <c r="H324" s="4"/>
      <c r="I324" s="4"/>
      <c r="J324" s="4"/>
      <c r="K324" s="4"/>
      <c r="L324" s="4"/>
      <c r="M324" s="4"/>
      <c r="N324" s="2" t="str">
        <f t="shared" si="55"/>
        <v/>
      </c>
      <c r="O324" s="2" t="str">
        <f t="shared" si="56"/>
        <v/>
      </c>
      <c r="P324" s="2" t="str">
        <f t="shared" si="57"/>
        <v/>
      </c>
      <c r="Q324" s="2" t="str">
        <f t="shared" si="58"/>
        <v/>
      </c>
      <c r="R324" s="2" t="str">
        <f t="shared" si="59"/>
        <v/>
      </c>
      <c r="S324" s="2" t="str">
        <f t="shared" si="60"/>
        <v/>
      </c>
      <c r="T324" s="2" t="str">
        <f t="shared" si="61"/>
        <v/>
      </c>
      <c r="U324" s="2" t="str">
        <f t="shared" si="62"/>
        <v/>
      </c>
      <c r="V324" s="2" t="b">
        <f t="shared" si="63"/>
        <v>0</v>
      </c>
      <c r="AA324" s="2" t="str">
        <f t="shared" si="64"/>
        <v/>
      </c>
      <c r="AB324" s="2" t="b">
        <f t="shared" si="65"/>
        <v>0</v>
      </c>
    </row>
    <row r="325" spans="1:28" x14ac:dyDescent="0.3">
      <c r="A325" s="2">
        <v>324</v>
      </c>
      <c r="B325" s="4"/>
      <c r="C325" s="4" t="s">
        <v>41</v>
      </c>
      <c r="D325" s="3"/>
      <c r="E325" s="3"/>
      <c r="F325" s="3"/>
      <c r="G325" s="3"/>
      <c r="H325" s="4"/>
      <c r="I325" s="4"/>
      <c r="J325" s="4"/>
      <c r="K325" s="4"/>
      <c r="L325" s="4"/>
      <c r="M325" s="4"/>
      <c r="N325" s="2" t="str">
        <f t="shared" si="55"/>
        <v/>
      </c>
      <c r="O325" s="2" t="str">
        <f t="shared" si="56"/>
        <v/>
      </c>
      <c r="P325" s="2" t="str">
        <f t="shared" si="57"/>
        <v/>
      </c>
      <c r="Q325" s="2" t="str">
        <f t="shared" si="58"/>
        <v/>
      </c>
      <c r="R325" s="2" t="str">
        <f t="shared" si="59"/>
        <v/>
      </c>
      <c r="S325" s="2" t="str">
        <f t="shared" si="60"/>
        <v/>
      </c>
      <c r="T325" s="2" t="str">
        <f t="shared" si="61"/>
        <v/>
      </c>
      <c r="U325" s="2" t="str">
        <f t="shared" si="62"/>
        <v/>
      </c>
      <c r="V325" s="2" t="b">
        <f t="shared" si="63"/>
        <v>0</v>
      </c>
      <c r="AA325" s="2" t="str">
        <f t="shared" si="64"/>
        <v/>
      </c>
      <c r="AB325" s="2" t="b">
        <f t="shared" si="65"/>
        <v>0</v>
      </c>
    </row>
    <row r="326" spans="1:28" x14ac:dyDescent="0.3">
      <c r="A326" s="2">
        <v>325</v>
      </c>
      <c r="B326" s="4"/>
      <c r="C326" s="4" t="s">
        <v>41</v>
      </c>
      <c r="D326" s="3"/>
      <c r="E326" s="3"/>
      <c r="F326" s="3"/>
      <c r="G326" s="3"/>
      <c r="H326" s="4"/>
      <c r="I326" s="4"/>
      <c r="J326" s="4"/>
      <c r="K326" s="4"/>
      <c r="L326" s="4"/>
      <c r="M326" s="4"/>
      <c r="N326" s="2" t="str">
        <f t="shared" si="55"/>
        <v/>
      </c>
      <c r="O326" s="2" t="str">
        <f t="shared" si="56"/>
        <v/>
      </c>
      <c r="P326" s="2" t="str">
        <f t="shared" si="57"/>
        <v/>
      </c>
      <c r="Q326" s="2" t="str">
        <f t="shared" si="58"/>
        <v/>
      </c>
      <c r="R326" s="2" t="str">
        <f t="shared" si="59"/>
        <v/>
      </c>
      <c r="S326" s="2" t="str">
        <f t="shared" si="60"/>
        <v/>
      </c>
      <c r="T326" s="2" t="str">
        <f t="shared" si="61"/>
        <v/>
      </c>
      <c r="U326" s="2" t="str">
        <f t="shared" si="62"/>
        <v/>
      </c>
      <c r="V326" s="2" t="b">
        <f t="shared" si="63"/>
        <v>0</v>
      </c>
      <c r="AA326" s="2" t="str">
        <f t="shared" si="64"/>
        <v/>
      </c>
      <c r="AB326" s="2" t="b">
        <f t="shared" si="65"/>
        <v>0</v>
      </c>
    </row>
    <row r="327" spans="1:28" x14ac:dyDescent="0.3">
      <c r="A327" s="2">
        <v>326</v>
      </c>
      <c r="B327" s="4"/>
      <c r="C327" s="4" t="s">
        <v>41</v>
      </c>
      <c r="D327" s="3"/>
      <c r="E327" s="3"/>
      <c r="F327" s="3"/>
      <c r="G327" s="3"/>
      <c r="H327" s="4"/>
      <c r="I327" s="4"/>
      <c r="J327" s="4"/>
      <c r="K327" s="4"/>
      <c r="L327" s="4"/>
      <c r="M327" s="4"/>
      <c r="N327" s="2" t="str">
        <f t="shared" si="55"/>
        <v/>
      </c>
      <c r="O327" s="2" t="str">
        <f t="shared" si="56"/>
        <v/>
      </c>
      <c r="P327" s="2" t="str">
        <f t="shared" si="57"/>
        <v/>
      </c>
      <c r="Q327" s="2" t="str">
        <f t="shared" si="58"/>
        <v/>
      </c>
      <c r="R327" s="2" t="str">
        <f t="shared" si="59"/>
        <v/>
      </c>
      <c r="S327" s="2" t="str">
        <f t="shared" si="60"/>
        <v/>
      </c>
      <c r="T327" s="2" t="str">
        <f t="shared" si="61"/>
        <v/>
      </c>
      <c r="U327" s="2" t="str">
        <f t="shared" si="62"/>
        <v/>
      </c>
      <c r="V327" s="2" t="b">
        <f t="shared" si="63"/>
        <v>0</v>
      </c>
      <c r="AA327" s="2" t="str">
        <f t="shared" si="64"/>
        <v/>
      </c>
      <c r="AB327" s="2" t="b">
        <f t="shared" si="65"/>
        <v>0</v>
      </c>
    </row>
    <row r="328" spans="1:28" x14ac:dyDescent="0.3">
      <c r="A328" s="2">
        <v>327</v>
      </c>
      <c r="B328" s="4"/>
      <c r="C328" s="4" t="s">
        <v>41</v>
      </c>
      <c r="D328" s="3"/>
      <c r="E328" s="3"/>
      <c r="F328" s="3"/>
      <c r="G328" s="3"/>
      <c r="H328" s="4"/>
      <c r="I328" s="4"/>
      <c r="J328" s="4"/>
      <c r="K328" s="4"/>
      <c r="L328" s="4"/>
      <c r="M328" s="4"/>
      <c r="N328" s="2" t="str">
        <f t="shared" si="55"/>
        <v/>
      </c>
      <c r="O328" s="2" t="str">
        <f t="shared" si="56"/>
        <v/>
      </c>
      <c r="P328" s="2" t="str">
        <f t="shared" si="57"/>
        <v/>
      </c>
      <c r="Q328" s="2" t="str">
        <f t="shared" si="58"/>
        <v/>
      </c>
      <c r="R328" s="2" t="str">
        <f t="shared" si="59"/>
        <v/>
      </c>
      <c r="S328" s="2" t="str">
        <f t="shared" si="60"/>
        <v/>
      </c>
      <c r="T328" s="2" t="str">
        <f t="shared" si="61"/>
        <v/>
      </c>
      <c r="U328" s="2" t="str">
        <f t="shared" si="62"/>
        <v/>
      </c>
      <c r="V328" s="2" t="b">
        <f t="shared" si="63"/>
        <v>0</v>
      </c>
      <c r="AA328" s="2" t="str">
        <f t="shared" si="64"/>
        <v/>
      </c>
      <c r="AB328" s="2" t="b">
        <f t="shared" si="65"/>
        <v>0</v>
      </c>
    </row>
    <row r="329" spans="1:28" x14ac:dyDescent="0.3">
      <c r="A329" s="2">
        <v>328</v>
      </c>
      <c r="B329" s="4"/>
      <c r="C329" s="4" t="s">
        <v>41</v>
      </c>
      <c r="D329" s="3"/>
      <c r="E329" s="3"/>
      <c r="F329" s="3"/>
      <c r="G329" s="3"/>
      <c r="H329" s="4"/>
      <c r="I329" s="4"/>
      <c r="J329" s="4"/>
      <c r="K329" s="4"/>
      <c r="L329" s="4"/>
      <c r="M329" s="4"/>
      <c r="N329" s="2" t="str">
        <f t="shared" si="55"/>
        <v/>
      </c>
      <c r="O329" s="2" t="str">
        <f t="shared" si="56"/>
        <v/>
      </c>
      <c r="P329" s="2" t="str">
        <f t="shared" si="57"/>
        <v/>
      </c>
      <c r="Q329" s="2" t="str">
        <f t="shared" si="58"/>
        <v/>
      </c>
      <c r="R329" s="2" t="str">
        <f t="shared" si="59"/>
        <v/>
      </c>
      <c r="S329" s="2" t="str">
        <f t="shared" si="60"/>
        <v/>
      </c>
      <c r="T329" s="2" t="str">
        <f t="shared" si="61"/>
        <v/>
      </c>
      <c r="U329" s="2" t="str">
        <f t="shared" si="62"/>
        <v/>
      </c>
      <c r="V329" s="2" t="b">
        <f t="shared" si="63"/>
        <v>0</v>
      </c>
      <c r="AA329" s="2" t="str">
        <f t="shared" si="64"/>
        <v/>
      </c>
      <c r="AB329" s="2" t="b">
        <f t="shared" si="65"/>
        <v>0</v>
      </c>
    </row>
    <row r="330" spans="1:28" x14ac:dyDescent="0.3">
      <c r="A330" s="2">
        <v>329</v>
      </c>
      <c r="B330" s="4"/>
      <c r="C330" s="4" t="s">
        <v>41</v>
      </c>
      <c r="D330" s="3"/>
      <c r="E330" s="3"/>
      <c r="F330" s="3"/>
      <c r="G330" s="3"/>
      <c r="H330" s="4"/>
      <c r="I330" s="4"/>
      <c r="J330" s="4"/>
      <c r="K330" s="4"/>
      <c r="L330" s="4"/>
      <c r="M330" s="4"/>
      <c r="N330" s="2" t="str">
        <f t="shared" si="55"/>
        <v/>
      </c>
      <c r="O330" s="2" t="str">
        <f t="shared" si="56"/>
        <v/>
      </c>
      <c r="P330" s="2" t="str">
        <f t="shared" si="57"/>
        <v/>
      </c>
      <c r="Q330" s="2" t="str">
        <f t="shared" si="58"/>
        <v/>
      </c>
      <c r="R330" s="2" t="str">
        <f t="shared" si="59"/>
        <v/>
      </c>
      <c r="S330" s="2" t="str">
        <f t="shared" si="60"/>
        <v/>
      </c>
      <c r="T330" s="2" t="str">
        <f t="shared" si="61"/>
        <v/>
      </c>
      <c r="U330" s="2" t="str">
        <f t="shared" si="62"/>
        <v/>
      </c>
      <c r="V330" s="2" t="b">
        <f t="shared" si="63"/>
        <v>0</v>
      </c>
      <c r="AA330" s="2" t="str">
        <f t="shared" si="64"/>
        <v/>
      </c>
      <c r="AB330" s="2" t="b">
        <f t="shared" si="65"/>
        <v>0</v>
      </c>
    </row>
    <row r="331" spans="1:28" x14ac:dyDescent="0.3">
      <c r="A331" s="2">
        <v>330</v>
      </c>
      <c r="B331" s="4"/>
      <c r="C331" s="4" t="s">
        <v>41</v>
      </c>
      <c r="D331" s="3"/>
      <c r="E331" s="3"/>
      <c r="F331" s="3"/>
      <c r="G331" s="3"/>
      <c r="H331" s="4"/>
      <c r="I331" s="4"/>
      <c r="J331" s="4"/>
      <c r="K331" s="4"/>
      <c r="L331" s="4"/>
      <c r="M331" s="4"/>
      <c r="N331" s="2" t="str">
        <f t="shared" si="55"/>
        <v/>
      </c>
      <c r="O331" s="2" t="str">
        <f t="shared" si="56"/>
        <v/>
      </c>
      <c r="P331" s="2" t="str">
        <f t="shared" si="57"/>
        <v/>
      </c>
      <c r="Q331" s="2" t="str">
        <f t="shared" si="58"/>
        <v/>
      </c>
      <c r="R331" s="2" t="str">
        <f t="shared" si="59"/>
        <v/>
      </c>
      <c r="S331" s="2" t="str">
        <f t="shared" si="60"/>
        <v/>
      </c>
      <c r="T331" s="2" t="str">
        <f t="shared" si="61"/>
        <v/>
      </c>
      <c r="U331" s="2" t="str">
        <f t="shared" si="62"/>
        <v/>
      </c>
      <c r="V331" s="2" t="b">
        <f t="shared" si="63"/>
        <v>0</v>
      </c>
      <c r="AA331" s="2" t="str">
        <f t="shared" si="64"/>
        <v/>
      </c>
      <c r="AB331" s="2" t="b">
        <f t="shared" si="65"/>
        <v>0</v>
      </c>
    </row>
    <row r="332" spans="1:28" x14ac:dyDescent="0.3">
      <c r="A332" s="2">
        <v>331</v>
      </c>
      <c r="B332" s="4"/>
      <c r="C332" s="4" t="s">
        <v>41</v>
      </c>
      <c r="D332" s="3"/>
      <c r="E332" s="3"/>
      <c r="F332" s="3"/>
      <c r="G332" s="3"/>
      <c r="H332" s="4"/>
      <c r="I332" s="4"/>
      <c r="J332" s="4"/>
      <c r="K332" s="4"/>
      <c r="L332" s="4"/>
      <c r="M332" s="4"/>
      <c r="N332" s="2" t="str">
        <f t="shared" si="55"/>
        <v/>
      </c>
      <c r="O332" s="2" t="str">
        <f t="shared" si="56"/>
        <v/>
      </c>
      <c r="P332" s="2" t="str">
        <f t="shared" si="57"/>
        <v/>
      </c>
      <c r="Q332" s="2" t="str">
        <f t="shared" si="58"/>
        <v/>
      </c>
      <c r="R332" s="2" t="str">
        <f t="shared" si="59"/>
        <v/>
      </c>
      <c r="S332" s="2" t="str">
        <f t="shared" si="60"/>
        <v/>
      </c>
      <c r="T332" s="2" t="str">
        <f t="shared" si="61"/>
        <v/>
      </c>
      <c r="U332" s="2" t="str">
        <f t="shared" si="62"/>
        <v/>
      </c>
      <c r="V332" s="2" t="b">
        <f t="shared" si="63"/>
        <v>0</v>
      </c>
      <c r="AA332" s="2" t="str">
        <f t="shared" si="64"/>
        <v/>
      </c>
      <c r="AB332" s="2" t="b">
        <f t="shared" si="65"/>
        <v>0</v>
      </c>
    </row>
    <row r="333" spans="1:28" x14ac:dyDescent="0.3">
      <c r="A333" s="2">
        <v>332</v>
      </c>
      <c r="B333" s="4"/>
      <c r="C333" s="4" t="s">
        <v>41</v>
      </c>
      <c r="D333" s="3"/>
      <c r="E333" s="3"/>
      <c r="F333" s="3"/>
      <c r="G333" s="3"/>
      <c r="H333" s="4"/>
      <c r="I333" s="4"/>
      <c r="J333" s="4"/>
      <c r="K333" s="4"/>
      <c r="L333" s="4"/>
      <c r="M333" s="4"/>
      <c r="N333" s="2" t="str">
        <f t="shared" si="55"/>
        <v/>
      </c>
      <c r="O333" s="2" t="str">
        <f t="shared" si="56"/>
        <v/>
      </c>
      <c r="P333" s="2" t="str">
        <f t="shared" si="57"/>
        <v/>
      </c>
      <c r="Q333" s="2" t="str">
        <f t="shared" si="58"/>
        <v/>
      </c>
      <c r="R333" s="2" t="str">
        <f t="shared" si="59"/>
        <v/>
      </c>
      <c r="S333" s="2" t="str">
        <f t="shared" si="60"/>
        <v/>
      </c>
      <c r="T333" s="2" t="str">
        <f t="shared" si="61"/>
        <v/>
      </c>
      <c r="U333" s="2" t="str">
        <f t="shared" si="62"/>
        <v/>
      </c>
      <c r="V333" s="2" t="b">
        <f t="shared" si="63"/>
        <v>0</v>
      </c>
      <c r="AA333" s="2" t="str">
        <f t="shared" si="64"/>
        <v/>
      </c>
      <c r="AB333" s="2" t="b">
        <f t="shared" si="65"/>
        <v>0</v>
      </c>
    </row>
    <row r="334" spans="1:28" x14ac:dyDescent="0.3">
      <c r="A334" s="2">
        <v>333</v>
      </c>
      <c r="B334" s="4"/>
      <c r="C334" s="4" t="s">
        <v>41</v>
      </c>
      <c r="D334" s="3"/>
      <c r="E334" s="3"/>
      <c r="F334" s="3"/>
      <c r="G334" s="3"/>
      <c r="H334" s="4"/>
      <c r="I334" s="4"/>
      <c r="J334" s="4"/>
      <c r="K334" s="4"/>
      <c r="L334" s="4"/>
      <c r="M334" s="4"/>
      <c r="N334" s="2" t="str">
        <f t="shared" si="55"/>
        <v/>
      </c>
      <c r="O334" s="2" t="str">
        <f t="shared" si="56"/>
        <v/>
      </c>
      <c r="P334" s="2" t="str">
        <f t="shared" si="57"/>
        <v/>
      </c>
      <c r="Q334" s="2" t="str">
        <f t="shared" si="58"/>
        <v/>
      </c>
      <c r="R334" s="2" t="str">
        <f t="shared" si="59"/>
        <v/>
      </c>
      <c r="S334" s="2" t="str">
        <f t="shared" si="60"/>
        <v/>
      </c>
      <c r="T334" s="2" t="str">
        <f t="shared" si="61"/>
        <v/>
      </c>
      <c r="U334" s="2" t="str">
        <f t="shared" si="62"/>
        <v/>
      </c>
      <c r="V334" s="2" t="b">
        <f t="shared" si="63"/>
        <v>0</v>
      </c>
      <c r="AA334" s="2" t="str">
        <f t="shared" si="64"/>
        <v/>
      </c>
      <c r="AB334" s="2" t="b">
        <f t="shared" si="65"/>
        <v>0</v>
      </c>
    </row>
    <row r="335" spans="1:28" x14ac:dyDescent="0.3">
      <c r="A335" s="2">
        <v>334</v>
      </c>
      <c r="B335" s="4"/>
      <c r="C335" s="4" t="s">
        <v>41</v>
      </c>
      <c r="D335" s="3"/>
      <c r="E335" s="3"/>
      <c r="F335" s="3"/>
      <c r="G335" s="3"/>
      <c r="H335" s="4"/>
      <c r="I335" s="4"/>
      <c r="J335" s="4"/>
      <c r="K335" s="4"/>
      <c r="L335" s="4"/>
      <c r="M335" s="4"/>
      <c r="N335" s="2" t="str">
        <f t="shared" si="55"/>
        <v/>
      </c>
      <c r="O335" s="2" t="str">
        <f t="shared" si="56"/>
        <v/>
      </c>
      <c r="P335" s="2" t="str">
        <f t="shared" si="57"/>
        <v/>
      </c>
      <c r="Q335" s="2" t="str">
        <f t="shared" si="58"/>
        <v/>
      </c>
      <c r="R335" s="2" t="str">
        <f t="shared" si="59"/>
        <v/>
      </c>
      <c r="S335" s="2" t="str">
        <f t="shared" si="60"/>
        <v/>
      </c>
      <c r="T335" s="2" t="str">
        <f t="shared" si="61"/>
        <v/>
      </c>
      <c r="U335" s="2" t="str">
        <f t="shared" si="62"/>
        <v/>
      </c>
      <c r="V335" s="2" t="b">
        <f t="shared" si="63"/>
        <v>0</v>
      </c>
      <c r="AA335" s="2" t="str">
        <f t="shared" si="64"/>
        <v/>
      </c>
      <c r="AB335" s="2" t="b">
        <f t="shared" si="65"/>
        <v>0</v>
      </c>
    </row>
    <row r="336" spans="1:28" x14ac:dyDescent="0.3">
      <c r="A336" s="2">
        <v>335</v>
      </c>
      <c r="B336" s="4"/>
      <c r="C336" s="4" t="s">
        <v>41</v>
      </c>
      <c r="D336" s="3"/>
      <c r="E336" s="3"/>
      <c r="F336" s="3"/>
      <c r="G336" s="3"/>
      <c r="H336" s="4"/>
      <c r="I336" s="4"/>
      <c r="J336" s="4"/>
      <c r="K336" s="4"/>
      <c r="L336" s="4"/>
      <c r="M336" s="4"/>
      <c r="N336" s="2" t="str">
        <f t="shared" si="55"/>
        <v/>
      </c>
      <c r="O336" s="2" t="str">
        <f t="shared" si="56"/>
        <v/>
      </c>
      <c r="P336" s="2" t="str">
        <f t="shared" si="57"/>
        <v/>
      </c>
      <c r="Q336" s="2" t="str">
        <f t="shared" si="58"/>
        <v/>
      </c>
      <c r="R336" s="2" t="str">
        <f t="shared" si="59"/>
        <v/>
      </c>
      <c r="S336" s="2" t="str">
        <f t="shared" si="60"/>
        <v/>
      </c>
      <c r="T336" s="2" t="str">
        <f t="shared" si="61"/>
        <v/>
      </c>
      <c r="U336" s="2" t="str">
        <f t="shared" si="62"/>
        <v/>
      </c>
      <c r="V336" s="2" t="b">
        <f t="shared" si="63"/>
        <v>0</v>
      </c>
      <c r="AA336" s="2" t="str">
        <f t="shared" si="64"/>
        <v/>
      </c>
      <c r="AB336" s="2" t="b">
        <f t="shared" si="65"/>
        <v>0</v>
      </c>
    </row>
    <row r="337" spans="1:28" x14ac:dyDescent="0.3">
      <c r="A337" s="2">
        <v>336</v>
      </c>
      <c r="B337" s="4"/>
      <c r="C337" s="4" t="s">
        <v>41</v>
      </c>
      <c r="D337" s="3"/>
      <c r="E337" s="3"/>
      <c r="F337" s="3"/>
      <c r="G337" s="3"/>
      <c r="H337" s="4"/>
      <c r="I337" s="4"/>
      <c r="J337" s="4"/>
      <c r="K337" s="4"/>
      <c r="L337" s="4"/>
      <c r="M337" s="4"/>
      <c r="N337" s="2" t="str">
        <f t="shared" si="55"/>
        <v/>
      </c>
      <c r="O337" s="2" t="str">
        <f t="shared" si="56"/>
        <v/>
      </c>
      <c r="P337" s="2" t="str">
        <f t="shared" si="57"/>
        <v/>
      </c>
      <c r="Q337" s="2" t="str">
        <f t="shared" si="58"/>
        <v/>
      </c>
      <c r="R337" s="2" t="str">
        <f t="shared" si="59"/>
        <v/>
      </c>
      <c r="S337" s="2" t="str">
        <f t="shared" si="60"/>
        <v/>
      </c>
      <c r="T337" s="2" t="str">
        <f t="shared" si="61"/>
        <v/>
      </c>
      <c r="U337" s="2" t="str">
        <f t="shared" si="62"/>
        <v/>
      </c>
      <c r="V337" s="2" t="b">
        <f t="shared" si="63"/>
        <v>0</v>
      </c>
      <c r="AA337" s="2" t="str">
        <f t="shared" si="64"/>
        <v/>
      </c>
      <c r="AB337" s="2" t="b">
        <f t="shared" si="65"/>
        <v>0</v>
      </c>
    </row>
    <row r="338" spans="1:28" x14ac:dyDescent="0.3">
      <c r="A338" s="2">
        <v>337</v>
      </c>
      <c r="B338" s="4"/>
      <c r="C338" s="4" t="s">
        <v>41</v>
      </c>
      <c r="D338" s="3"/>
      <c r="E338" s="3"/>
      <c r="F338" s="3"/>
      <c r="G338" s="3"/>
      <c r="H338" s="4"/>
      <c r="I338" s="4"/>
      <c r="J338" s="4"/>
      <c r="K338" s="4"/>
      <c r="L338" s="4"/>
      <c r="M338" s="4"/>
      <c r="N338" s="2" t="str">
        <f t="shared" si="55"/>
        <v/>
      </c>
      <c r="O338" s="2" t="str">
        <f t="shared" si="56"/>
        <v/>
      </c>
      <c r="P338" s="2" t="str">
        <f t="shared" si="57"/>
        <v/>
      </c>
      <c r="Q338" s="2" t="str">
        <f t="shared" si="58"/>
        <v/>
      </c>
      <c r="R338" s="2" t="str">
        <f t="shared" si="59"/>
        <v/>
      </c>
      <c r="S338" s="2" t="str">
        <f t="shared" si="60"/>
        <v/>
      </c>
      <c r="T338" s="2" t="str">
        <f t="shared" si="61"/>
        <v/>
      </c>
      <c r="U338" s="2" t="str">
        <f t="shared" si="62"/>
        <v/>
      </c>
      <c r="V338" s="2" t="b">
        <f t="shared" si="63"/>
        <v>0</v>
      </c>
      <c r="AA338" s="2" t="str">
        <f t="shared" si="64"/>
        <v/>
      </c>
      <c r="AB338" s="2" t="b">
        <f t="shared" si="65"/>
        <v>0</v>
      </c>
    </row>
    <row r="339" spans="1:28" x14ac:dyDescent="0.3">
      <c r="A339" s="2">
        <v>338</v>
      </c>
      <c r="B339" s="4"/>
      <c r="C339" s="4" t="s">
        <v>41</v>
      </c>
      <c r="D339" s="3"/>
      <c r="E339" s="3"/>
      <c r="F339" s="3"/>
      <c r="G339" s="3"/>
      <c r="H339" s="4"/>
      <c r="I339" s="4"/>
      <c r="J339" s="4"/>
      <c r="K339" s="4"/>
      <c r="L339" s="4"/>
      <c r="M339" s="4"/>
      <c r="N339" s="2" t="str">
        <f t="shared" si="55"/>
        <v/>
      </c>
      <c r="O339" s="2" t="str">
        <f t="shared" si="56"/>
        <v/>
      </c>
      <c r="P339" s="2" t="str">
        <f t="shared" si="57"/>
        <v/>
      </c>
      <c r="Q339" s="2" t="str">
        <f t="shared" si="58"/>
        <v/>
      </c>
      <c r="R339" s="2" t="str">
        <f t="shared" si="59"/>
        <v/>
      </c>
      <c r="S339" s="2" t="str">
        <f t="shared" si="60"/>
        <v/>
      </c>
      <c r="T339" s="2" t="str">
        <f t="shared" si="61"/>
        <v/>
      </c>
      <c r="U339" s="2" t="str">
        <f t="shared" si="62"/>
        <v/>
      </c>
      <c r="V339" s="2" t="b">
        <f t="shared" si="63"/>
        <v>0</v>
      </c>
      <c r="AA339" s="2" t="str">
        <f t="shared" si="64"/>
        <v/>
      </c>
      <c r="AB339" s="2" t="b">
        <f t="shared" si="65"/>
        <v>0</v>
      </c>
    </row>
    <row r="340" spans="1:28" x14ac:dyDescent="0.3">
      <c r="A340" s="2">
        <v>339</v>
      </c>
      <c r="B340" s="4"/>
      <c r="C340" s="4" t="s">
        <v>41</v>
      </c>
      <c r="D340" s="3"/>
      <c r="E340" s="3"/>
      <c r="F340" s="3"/>
      <c r="G340" s="3"/>
      <c r="H340" s="4"/>
      <c r="I340" s="4"/>
      <c r="J340" s="4"/>
      <c r="K340" s="4"/>
      <c r="L340" s="4"/>
      <c r="M340" s="4"/>
      <c r="N340" s="2" t="str">
        <f t="shared" si="55"/>
        <v/>
      </c>
      <c r="O340" s="2" t="str">
        <f t="shared" si="56"/>
        <v/>
      </c>
      <c r="P340" s="2" t="str">
        <f t="shared" si="57"/>
        <v/>
      </c>
      <c r="Q340" s="2" t="str">
        <f t="shared" si="58"/>
        <v/>
      </c>
      <c r="R340" s="2" t="str">
        <f t="shared" si="59"/>
        <v/>
      </c>
      <c r="S340" s="2" t="str">
        <f t="shared" si="60"/>
        <v/>
      </c>
      <c r="T340" s="2" t="str">
        <f t="shared" si="61"/>
        <v/>
      </c>
      <c r="U340" s="2" t="str">
        <f t="shared" si="62"/>
        <v/>
      </c>
      <c r="V340" s="2" t="b">
        <f t="shared" si="63"/>
        <v>0</v>
      </c>
      <c r="AA340" s="2" t="str">
        <f t="shared" si="64"/>
        <v/>
      </c>
      <c r="AB340" s="2" t="b">
        <f t="shared" si="65"/>
        <v>0</v>
      </c>
    </row>
    <row r="341" spans="1:28" x14ac:dyDescent="0.3">
      <c r="A341" s="2">
        <v>340</v>
      </c>
      <c r="B341" s="4"/>
      <c r="C341" s="4" t="s">
        <v>41</v>
      </c>
      <c r="D341" s="3"/>
      <c r="E341" s="3"/>
      <c r="F341" s="3"/>
      <c r="G341" s="3"/>
      <c r="H341" s="4"/>
      <c r="I341" s="4"/>
      <c r="J341" s="4"/>
      <c r="K341" s="4"/>
      <c r="L341" s="4"/>
      <c r="M341" s="4"/>
      <c r="N341" s="2" t="str">
        <f t="shared" si="55"/>
        <v/>
      </c>
      <c r="O341" s="2" t="str">
        <f t="shared" si="56"/>
        <v/>
      </c>
      <c r="P341" s="2" t="str">
        <f t="shared" si="57"/>
        <v/>
      </c>
      <c r="Q341" s="2" t="str">
        <f t="shared" si="58"/>
        <v/>
      </c>
      <c r="R341" s="2" t="str">
        <f t="shared" si="59"/>
        <v/>
      </c>
      <c r="S341" s="2" t="str">
        <f t="shared" si="60"/>
        <v/>
      </c>
      <c r="T341" s="2" t="str">
        <f t="shared" si="61"/>
        <v/>
      </c>
      <c r="U341" s="2" t="str">
        <f t="shared" si="62"/>
        <v/>
      </c>
      <c r="V341" s="2" t="b">
        <f t="shared" si="63"/>
        <v>0</v>
      </c>
      <c r="AA341" s="2" t="str">
        <f t="shared" si="64"/>
        <v/>
      </c>
      <c r="AB341" s="2" t="b">
        <f t="shared" si="65"/>
        <v>0</v>
      </c>
    </row>
    <row r="342" spans="1:28" x14ac:dyDescent="0.3">
      <c r="A342" s="2">
        <v>341</v>
      </c>
      <c r="B342" s="4"/>
      <c r="C342" s="4" t="s">
        <v>41</v>
      </c>
      <c r="D342" s="3"/>
      <c r="E342" s="3"/>
      <c r="F342" s="3"/>
      <c r="G342" s="3"/>
      <c r="H342" s="4"/>
      <c r="I342" s="4"/>
      <c r="J342" s="4"/>
      <c r="K342" s="4"/>
      <c r="L342" s="4"/>
      <c r="M342" s="4"/>
      <c r="N342" s="2" t="str">
        <f t="shared" si="55"/>
        <v/>
      </c>
      <c r="O342" s="2" t="str">
        <f t="shared" si="56"/>
        <v/>
      </c>
      <c r="P342" s="2" t="str">
        <f t="shared" si="57"/>
        <v/>
      </c>
      <c r="Q342" s="2" t="str">
        <f t="shared" si="58"/>
        <v/>
      </c>
      <c r="R342" s="2" t="str">
        <f t="shared" si="59"/>
        <v/>
      </c>
      <c r="S342" s="2" t="str">
        <f t="shared" si="60"/>
        <v/>
      </c>
      <c r="T342" s="2" t="str">
        <f t="shared" si="61"/>
        <v/>
      </c>
      <c r="U342" s="2" t="str">
        <f t="shared" si="62"/>
        <v/>
      </c>
      <c r="V342" s="2" t="b">
        <f t="shared" si="63"/>
        <v>0</v>
      </c>
      <c r="AA342" s="2" t="str">
        <f t="shared" si="64"/>
        <v/>
      </c>
      <c r="AB342" s="2" t="b">
        <f t="shared" si="65"/>
        <v>0</v>
      </c>
    </row>
    <row r="343" spans="1:28" x14ac:dyDescent="0.3">
      <c r="A343" s="2">
        <v>342</v>
      </c>
      <c r="B343" s="4"/>
      <c r="C343" s="4" t="s">
        <v>41</v>
      </c>
      <c r="D343" s="3"/>
      <c r="E343" s="3"/>
      <c r="F343" s="3"/>
      <c r="G343" s="3"/>
      <c r="H343" s="4"/>
      <c r="I343" s="4"/>
      <c r="J343" s="4"/>
      <c r="K343" s="4"/>
      <c r="L343" s="4"/>
      <c r="M343" s="4"/>
      <c r="N343" s="2" t="str">
        <f t="shared" si="55"/>
        <v/>
      </c>
      <c r="O343" s="2" t="str">
        <f t="shared" si="56"/>
        <v/>
      </c>
      <c r="P343" s="2" t="str">
        <f t="shared" si="57"/>
        <v/>
      </c>
      <c r="Q343" s="2" t="str">
        <f t="shared" si="58"/>
        <v/>
      </c>
      <c r="R343" s="2" t="str">
        <f t="shared" si="59"/>
        <v/>
      </c>
      <c r="S343" s="2" t="str">
        <f t="shared" si="60"/>
        <v/>
      </c>
      <c r="T343" s="2" t="str">
        <f t="shared" si="61"/>
        <v/>
      </c>
      <c r="U343" s="2" t="str">
        <f t="shared" si="62"/>
        <v/>
      </c>
      <c r="V343" s="2" t="b">
        <f t="shared" si="63"/>
        <v>0</v>
      </c>
      <c r="AA343" s="2" t="str">
        <f t="shared" si="64"/>
        <v/>
      </c>
      <c r="AB343" s="2" t="b">
        <f t="shared" si="65"/>
        <v>0</v>
      </c>
    </row>
    <row r="344" spans="1:28" x14ac:dyDescent="0.3">
      <c r="A344" s="2">
        <v>343</v>
      </c>
      <c r="B344" s="4"/>
      <c r="C344" s="4" t="s">
        <v>41</v>
      </c>
      <c r="D344" s="3"/>
      <c r="E344" s="3"/>
      <c r="F344" s="3"/>
      <c r="G344" s="3"/>
      <c r="H344" s="4"/>
      <c r="I344" s="4"/>
      <c r="J344" s="4"/>
      <c r="K344" s="4"/>
      <c r="L344" s="4"/>
      <c r="M344" s="4"/>
      <c r="N344" s="2" t="str">
        <f t="shared" si="55"/>
        <v/>
      </c>
      <c r="O344" s="2" t="str">
        <f t="shared" si="56"/>
        <v/>
      </c>
      <c r="P344" s="2" t="str">
        <f t="shared" si="57"/>
        <v/>
      </c>
      <c r="Q344" s="2" t="str">
        <f t="shared" si="58"/>
        <v/>
      </c>
      <c r="R344" s="2" t="str">
        <f t="shared" si="59"/>
        <v/>
      </c>
      <c r="S344" s="2" t="str">
        <f t="shared" si="60"/>
        <v/>
      </c>
      <c r="T344" s="2" t="str">
        <f t="shared" si="61"/>
        <v/>
      </c>
      <c r="U344" s="2" t="str">
        <f t="shared" si="62"/>
        <v/>
      </c>
      <c r="V344" s="2" t="b">
        <f t="shared" si="63"/>
        <v>0</v>
      </c>
      <c r="AA344" s="2" t="str">
        <f t="shared" si="64"/>
        <v/>
      </c>
      <c r="AB344" s="2" t="b">
        <f t="shared" si="65"/>
        <v>0</v>
      </c>
    </row>
    <row r="345" spans="1:28" x14ac:dyDescent="0.3">
      <c r="A345" s="2">
        <v>344</v>
      </c>
      <c r="B345" s="4"/>
      <c r="C345" s="4" t="s">
        <v>41</v>
      </c>
      <c r="D345" s="3"/>
      <c r="E345" s="3"/>
      <c r="F345" s="3"/>
      <c r="G345" s="3"/>
      <c r="H345" s="4"/>
      <c r="I345" s="4"/>
      <c r="J345" s="4"/>
      <c r="K345" s="4"/>
      <c r="L345" s="4"/>
      <c r="M345" s="4"/>
      <c r="N345" s="2" t="str">
        <f t="shared" si="55"/>
        <v/>
      </c>
      <c r="O345" s="2" t="str">
        <f t="shared" si="56"/>
        <v/>
      </c>
      <c r="P345" s="2" t="str">
        <f t="shared" si="57"/>
        <v/>
      </c>
      <c r="Q345" s="2" t="str">
        <f t="shared" si="58"/>
        <v/>
      </c>
      <c r="R345" s="2" t="str">
        <f t="shared" si="59"/>
        <v/>
      </c>
      <c r="S345" s="2" t="str">
        <f t="shared" si="60"/>
        <v/>
      </c>
      <c r="T345" s="2" t="str">
        <f t="shared" si="61"/>
        <v/>
      </c>
      <c r="U345" s="2" t="str">
        <f t="shared" si="62"/>
        <v/>
      </c>
      <c r="V345" s="2" t="b">
        <f t="shared" si="63"/>
        <v>0</v>
      </c>
      <c r="AA345" s="2" t="str">
        <f t="shared" si="64"/>
        <v/>
      </c>
      <c r="AB345" s="2" t="b">
        <f t="shared" si="65"/>
        <v>0</v>
      </c>
    </row>
    <row r="346" spans="1:28" x14ac:dyDescent="0.3">
      <c r="A346" s="2">
        <v>345</v>
      </c>
      <c r="B346" s="4"/>
      <c r="C346" s="4" t="s">
        <v>41</v>
      </c>
      <c r="D346" s="3"/>
      <c r="E346" s="3"/>
      <c r="F346" s="3"/>
      <c r="G346" s="3"/>
      <c r="H346" s="4"/>
      <c r="I346" s="4"/>
      <c r="J346" s="4"/>
      <c r="K346" s="4"/>
      <c r="L346" s="4"/>
      <c r="M346" s="4"/>
      <c r="N346" s="2" t="str">
        <f t="shared" si="55"/>
        <v/>
      </c>
      <c r="O346" s="2" t="str">
        <f t="shared" si="56"/>
        <v/>
      </c>
      <c r="P346" s="2" t="str">
        <f t="shared" si="57"/>
        <v/>
      </c>
      <c r="Q346" s="2" t="str">
        <f t="shared" si="58"/>
        <v/>
      </c>
      <c r="R346" s="2" t="str">
        <f t="shared" si="59"/>
        <v/>
      </c>
      <c r="S346" s="2" t="str">
        <f t="shared" si="60"/>
        <v/>
      </c>
      <c r="T346" s="2" t="str">
        <f t="shared" si="61"/>
        <v/>
      </c>
      <c r="U346" s="2" t="str">
        <f t="shared" si="62"/>
        <v/>
      </c>
      <c r="V346" s="2" t="b">
        <f t="shared" si="63"/>
        <v>0</v>
      </c>
      <c r="AA346" s="2" t="str">
        <f t="shared" si="64"/>
        <v/>
      </c>
      <c r="AB346" s="2" t="b">
        <f t="shared" si="65"/>
        <v>0</v>
      </c>
    </row>
    <row r="347" spans="1:28" x14ac:dyDescent="0.3">
      <c r="A347" s="2">
        <v>346</v>
      </c>
      <c r="B347" s="4"/>
      <c r="C347" s="4" t="s">
        <v>41</v>
      </c>
      <c r="D347" s="3"/>
      <c r="E347" s="3"/>
      <c r="F347" s="3"/>
      <c r="G347" s="3"/>
      <c r="H347" s="4"/>
      <c r="I347" s="4"/>
      <c r="J347" s="4"/>
      <c r="K347" s="4"/>
      <c r="L347" s="4"/>
      <c r="M347" s="4"/>
      <c r="N347" s="2" t="str">
        <f t="shared" si="55"/>
        <v/>
      </c>
      <c r="O347" s="2" t="str">
        <f t="shared" si="56"/>
        <v/>
      </c>
      <c r="P347" s="2" t="str">
        <f t="shared" si="57"/>
        <v/>
      </c>
      <c r="Q347" s="2" t="str">
        <f t="shared" si="58"/>
        <v/>
      </c>
      <c r="R347" s="2" t="str">
        <f t="shared" si="59"/>
        <v/>
      </c>
      <c r="S347" s="2" t="str">
        <f t="shared" si="60"/>
        <v/>
      </c>
      <c r="T347" s="2" t="str">
        <f t="shared" si="61"/>
        <v/>
      </c>
      <c r="U347" s="2" t="str">
        <f t="shared" si="62"/>
        <v/>
      </c>
      <c r="V347" s="2" t="b">
        <f t="shared" si="63"/>
        <v>0</v>
      </c>
      <c r="AA347" s="2" t="str">
        <f t="shared" si="64"/>
        <v/>
      </c>
      <c r="AB347" s="2" t="b">
        <f t="shared" si="65"/>
        <v>0</v>
      </c>
    </row>
    <row r="348" spans="1:28" x14ac:dyDescent="0.3">
      <c r="A348" s="2">
        <v>347</v>
      </c>
      <c r="B348" s="4"/>
      <c r="C348" s="4" t="s">
        <v>41</v>
      </c>
      <c r="D348" s="3"/>
      <c r="E348" s="3"/>
      <c r="F348" s="3"/>
      <c r="G348" s="3"/>
      <c r="H348" s="4"/>
      <c r="I348" s="4"/>
      <c r="J348" s="4"/>
      <c r="K348" s="4"/>
      <c r="L348" s="4"/>
      <c r="M348" s="4"/>
      <c r="N348" s="2" t="str">
        <f t="shared" si="55"/>
        <v/>
      </c>
      <c r="O348" s="2" t="str">
        <f t="shared" si="56"/>
        <v/>
      </c>
      <c r="P348" s="2" t="str">
        <f t="shared" si="57"/>
        <v/>
      </c>
      <c r="Q348" s="2" t="str">
        <f t="shared" si="58"/>
        <v/>
      </c>
      <c r="R348" s="2" t="str">
        <f t="shared" si="59"/>
        <v/>
      </c>
      <c r="S348" s="2" t="str">
        <f t="shared" si="60"/>
        <v/>
      </c>
      <c r="T348" s="2" t="str">
        <f t="shared" si="61"/>
        <v/>
      </c>
      <c r="U348" s="2" t="str">
        <f t="shared" si="62"/>
        <v/>
      </c>
      <c r="V348" s="2" t="b">
        <f t="shared" si="63"/>
        <v>0</v>
      </c>
      <c r="AA348" s="2" t="str">
        <f t="shared" si="64"/>
        <v/>
      </c>
      <c r="AB348" s="2" t="b">
        <f t="shared" si="65"/>
        <v>0</v>
      </c>
    </row>
    <row r="349" spans="1:28" x14ac:dyDescent="0.3">
      <c r="A349" s="2">
        <v>348</v>
      </c>
      <c r="B349" s="4"/>
      <c r="C349" s="4" t="s">
        <v>41</v>
      </c>
      <c r="D349" s="3"/>
      <c r="E349" s="3"/>
      <c r="F349" s="3"/>
      <c r="G349" s="3"/>
      <c r="H349" s="4"/>
      <c r="I349" s="4"/>
      <c r="J349" s="4"/>
      <c r="K349" s="4"/>
      <c r="L349" s="4"/>
      <c r="M349" s="4"/>
      <c r="N349" s="2" t="str">
        <f t="shared" si="55"/>
        <v/>
      </c>
      <c r="O349" s="2" t="str">
        <f t="shared" si="56"/>
        <v/>
      </c>
      <c r="P349" s="2" t="str">
        <f t="shared" si="57"/>
        <v/>
      </c>
      <c r="Q349" s="2" t="str">
        <f t="shared" si="58"/>
        <v/>
      </c>
      <c r="R349" s="2" t="str">
        <f t="shared" si="59"/>
        <v/>
      </c>
      <c r="S349" s="2" t="str">
        <f t="shared" si="60"/>
        <v/>
      </c>
      <c r="T349" s="2" t="str">
        <f t="shared" si="61"/>
        <v/>
      </c>
      <c r="U349" s="2" t="str">
        <f t="shared" si="62"/>
        <v/>
      </c>
      <c r="V349" s="2" t="b">
        <f t="shared" si="63"/>
        <v>0</v>
      </c>
      <c r="AA349" s="2" t="str">
        <f t="shared" si="64"/>
        <v/>
      </c>
      <c r="AB349" s="2" t="b">
        <f t="shared" si="65"/>
        <v>0</v>
      </c>
    </row>
    <row r="350" spans="1:28" x14ac:dyDescent="0.3">
      <c r="A350" s="2">
        <v>349</v>
      </c>
      <c r="B350" s="4"/>
      <c r="C350" s="4" t="s">
        <v>41</v>
      </c>
      <c r="D350" s="3"/>
      <c r="E350" s="3"/>
      <c r="F350" s="3"/>
      <c r="G350" s="3"/>
      <c r="H350" s="4"/>
      <c r="I350" s="4"/>
      <c r="J350" s="4"/>
      <c r="K350" s="4"/>
      <c r="L350" s="4"/>
      <c r="M350" s="4"/>
      <c r="N350" s="2" t="str">
        <f t="shared" si="55"/>
        <v/>
      </c>
      <c r="O350" s="2" t="str">
        <f t="shared" si="56"/>
        <v/>
      </c>
      <c r="P350" s="2" t="str">
        <f t="shared" si="57"/>
        <v/>
      </c>
      <c r="Q350" s="2" t="str">
        <f t="shared" si="58"/>
        <v/>
      </c>
      <c r="R350" s="2" t="str">
        <f t="shared" si="59"/>
        <v/>
      </c>
      <c r="S350" s="2" t="str">
        <f t="shared" si="60"/>
        <v/>
      </c>
      <c r="T350" s="2" t="str">
        <f t="shared" si="61"/>
        <v/>
      </c>
      <c r="U350" s="2" t="str">
        <f t="shared" si="62"/>
        <v/>
      </c>
      <c r="V350" s="2" t="b">
        <f t="shared" si="63"/>
        <v>0</v>
      </c>
      <c r="AA350" s="2" t="str">
        <f t="shared" si="64"/>
        <v/>
      </c>
      <c r="AB350" s="2" t="b">
        <f t="shared" si="65"/>
        <v>0</v>
      </c>
    </row>
    <row r="351" spans="1:28" x14ac:dyDescent="0.3">
      <c r="A351" s="2">
        <v>350</v>
      </c>
      <c r="B351" s="4"/>
      <c r="C351" s="4" t="s">
        <v>41</v>
      </c>
      <c r="D351" s="3"/>
      <c r="E351" s="3"/>
      <c r="F351" s="3"/>
      <c r="G351" s="3"/>
      <c r="H351" s="4"/>
      <c r="I351" s="4"/>
      <c r="J351" s="4"/>
      <c r="K351" s="4"/>
      <c r="L351" s="4"/>
      <c r="M351" s="4"/>
      <c r="N351" s="2" t="str">
        <f t="shared" si="55"/>
        <v/>
      </c>
      <c r="O351" s="2" t="str">
        <f t="shared" si="56"/>
        <v/>
      </c>
      <c r="P351" s="2" t="str">
        <f t="shared" si="57"/>
        <v/>
      </c>
      <c r="Q351" s="2" t="str">
        <f t="shared" si="58"/>
        <v/>
      </c>
      <c r="R351" s="2" t="str">
        <f t="shared" si="59"/>
        <v/>
      </c>
      <c r="S351" s="2" t="str">
        <f t="shared" si="60"/>
        <v/>
      </c>
      <c r="T351" s="2" t="str">
        <f t="shared" si="61"/>
        <v/>
      </c>
      <c r="U351" s="2" t="str">
        <f t="shared" si="62"/>
        <v/>
      </c>
      <c r="V351" s="2" t="b">
        <f t="shared" si="63"/>
        <v>0</v>
      </c>
      <c r="AA351" s="2" t="str">
        <f t="shared" si="64"/>
        <v/>
      </c>
      <c r="AB351" s="2" t="b">
        <f t="shared" si="65"/>
        <v>0</v>
      </c>
    </row>
    <row r="352" spans="1:28" x14ac:dyDescent="0.3">
      <c r="A352" s="2">
        <v>351</v>
      </c>
      <c r="B352" s="4"/>
      <c r="C352" s="4" t="s">
        <v>41</v>
      </c>
      <c r="D352" s="3"/>
      <c r="E352" s="3"/>
      <c r="F352" s="3"/>
      <c r="G352" s="3"/>
      <c r="H352" s="4"/>
      <c r="I352" s="4"/>
      <c r="J352" s="4"/>
      <c r="K352" s="4"/>
      <c r="L352" s="4"/>
      <c r="M352" s="4"/>
      <c r="N352" s="2" t="str">
        <f t="shared" si="55"/>
        <v/>
      </c>
      <c r="O352" s="2" t="str">
        <f t="shared" si="56"/>
        <v/>
      </c>
      <c r="P352" s="2" t="str">
        <f t="shared" si="57"/>
        <v/>
      </c>
      <c r="Q352" s="2" t="str">
        <f t="shared" si="58"/>
        <v/>
      </c>
      <c r="R352" s="2" t="str">
        <f t="shared" si="59"/>
        <v/>
      </c>
      <c r="S352" s="2" t="str">
        <f t="shared" si="60"/>
        <v/>
      </c>
      <c r="T352" s="2" t="str">
        <f t="shared" si="61"/>
        <v/>
      </c>
      <c r="U352" s="2" t="str">
        <f t="shared" si="62"/>
        <v/>
      </c>
      <c r="V352" s="2" t="b">
        <f t="shared" si="63"/>
        <v>0</v>
      </c>
      <c r="AA352" s="2" t="str">
        <f t="shared" si="64"/>
        <v/>
      </c>
      <c r="AB352" s="2" t="b">
        <f t="shared" si="65"/>
        <v>0</v>
      </c>
    </row>
    <row r="353" spans="1:28" x14ac:dyDescent="0.3">
      <c r="A353" s="2">
        <v>352</v>
      </c>
      <c r="B353" s="4"/>
      <c r="C353" s="4" t="s">
        <v>41</v>
      </c>
      <c r="D353" s="3"/>
      <c r="E353" s="3"/>
      <c r="F353" s="3"/>
      <c r="G353" s="3"/>
      <c r="H353" s="4"/>
      <c r="I353" s="4"/>
      <c r="J353" s="4"/>
      <c r="K353" s="4"/>
      <c r="L353" s="4"/>
      <c r="M353" s="4"/>
      <c r="N353" s="2" t="str">
        <f t="shared" si="55"/>
        <v/>
      </c>
      <c r="O353" s="2" t="str">
        <f t="shared" si="56"/>
        <v/>
      </c>
      <c r="P353" s="2" t="str">
        <f t="shared" si="57"/>
        <v/>
      </c>
      <c r="Q353" s="2" t="str">
        <f t="shared" si="58"/>
        <v/>
      </c>
      <c r="R353" s="2" t="str">
        <f t="shared" si="59"/>
        <v/>
      </c>
      <c r="S353" s="2" t="str">
        <f t="shared" si="60"/>
        <v/>
      </c>
      <c r="T353" s="2" t="str">
        <f t="shared" si="61"/>
        <v/>
      </c>
      <c r="U353" s="2" t="str">
        <f t="shared" si="62"/>
        <v/>
      </c>
      <c r="V353" s="2" t="b">
        <f t="shared" si="63"/>
        <v>0</v>
      </c>
      <c r="AA353" s="2" t="str">
        <f t="shared" si="64"/>
        <v/>
      </c>
      <c r="AB353" s="2" t="b">
        <f t="shared" si="65"/>
        <v>0</v>
      </c>
    </row>
    <row r="354" spans="1:28" x14ac:dyDescent="0.3">
      <c r="A354" s="2">
        <v>353</v>
      </c>
      <c r="B354" s="4"/>
      <c r="C354" s="4" t="s">
        <v>41</v>
      </c>
      <c r="D354" s="3"/>
      <c r="E354" s="3"/>
      <c r="F354" s="3"/>
      <c r="G354" s="3"/>
      <c r="H354" s="4"/>
      <c r="I354" s="4"/>
      <c r="J354" s="4"/>
      <c r="K354" s="4"/>
      <c r="L354" s="4"/>
      <c r="M354" s="4"/>
      <c r="N354" s="2" t="str">
        <f t="shared" si="55"/>
        <v/>
      </c>
      <c r="O354" s="2" t="str">
        <f t="shared" si="56"/>
        <v/>
      </c>
      <c r="P354" s="2" t="str">
        <f t="shared" si="57"/>
        <v/>
      </c>
      <c r="Q354" s="2" t="str">
        <f t="shared" si="58"/>
        <v/>
      </c>
      <c r="R354" s="2" t="str">
        <f t="shared" si="59"/>
        <v/>
      </c>
      <c r="S354" s="2" t="str">
        <f t="shared" si="60"/>
        <v/>
      </c>
      <c r="T354" s="2" t="str">
        <f t="shared" si="61"/>
        <v/>
      </c>
      <c r="U354" s="2" t="str">
        <f t="shared" si="62"/>
        <v/>
      </c>
      <c r="V354" s="2" t="b">
        <f t="shared" si="63"/>
        <v>0</v>
      </c>
      <c r="AA354" s="2" t="str">
        <f t="shared" si="64"/>
        <v/>
      </c>
      <c r="AB354" s="2" t="b">
        <f t="shared" si="65"/>
        <v>0</v>
      </c>
    </row>
    <row r="355" spans="1:28" x14ac:dyDescent="0.3">
      <c r="A355" s="2">
        <v>354</v>
      </c>
      <c r="B355" s="4"/>
      <c r="C355" s="4" t="s">
        <v>41</v>
      </c>
      <c r="D355" s="3"/>
      <c r="E355" s="3"/>
      <c r="F355" s="3"/>
      <c r="G355" s="3"/>
      <c r="H355" s="4"/>
      <c r="I355" s="4"/>
      <c r="J355" s="4"/>
      <c r="K355" s="4"/>
      <c r="L355" s="4"/>
      <c r="M355" s="4"/>
      <c r="N355" s="2" t="str">
        <f t="shared" si="55"/>
        <v/>
      </c>
      <c r="O355" s="2" t="str">
        <f t="shared" si="56"/>
        <v/>
      </c>
      <c r="P355" s="2" t="str">
        <f t="shared" si="57"/>
        <v/>
      </c>
      <c r="Q355" s="2" t="str">
        <f t="shared" si="58"/>
        <v/>
      </c>
      <c r="R355" s="2" t="str">
        <f t="shared" si="59"/>
        <v/>
      </c>
      <c r="S355" s="2" t="str">
        <f t="shared" si="60"/>
        <v/>
      </c>
      <c r="T355" s="2" t="str">
        <f t="shared" si="61"/>
        <v/>
      </c>
      <c r="U355" s="2" t="str">
        <f t="shared" si="62"/>
        <v/>
      </c>
      <c r="V355" s="2" t="b">
        <f t="shared" si="63"/>
        <v>0</v>
      </c>
      <c r="AA355" s="2" t="str">
        <f t="shared" si="64"/>
        <v/>
      </c>
      <c r="AB355" s="2" t="b">
        <f t="shared" si="65"/>
        <v>0</v>
      </c>
    </row>
    <row r="356" spans="1:28" x14ac:dyDescent="0.3">
      <c r="A356" s="2">
        <v>355</v>
      </c>
      <c r="B356" s="4"/>
      <c r="C356" s="4" t="s">
        <v>41</v>
      </c>
      <c r="D356" s="3"/>
      <c r="E356" s="3"/>
      <c r="F356" s="3"/>
      <c r="G356" s="3"/>
      <c r="H356" s="4"/>
      <c r="I356" s="4"/>
      <c r="J356" s="4"/>
      <c r="K356" s="4"/>
      <c r="L356" s="4"/>
      <c r="M356" s="4"/>
      <c r="N356" s="2" t="str">
        <f t="shared" si="55"/>
        <v/>
      </c>
      <c r="O356" s="2" t="str">
        <f t="shared" si="56"/>
        <v/>
      </c>
      <c r="P356" s="2" t="str">
        <f t="shared" si="57"/>
        <v/>
      </c>
      <c r="Q356" s="2" t="str">
        <f t="shared" si="58"/>
        <v/>
      </c>
      <c r="R356" s="2" t="str">
        <f t="shared" si="59"/>
        <v/>
      </c>
      <c r="S356" s="2" t="str">
        <f t="shared" si="60"/>
        <v/>
      </c>
      <c r="T356" s="2" t="str">
        <f t="shared" si="61"/>
        <v/>
      </c>
      <c r="U356" s="2" t="str">
        <f t="shared" si="62"/>
        <v/>
      </c>
      <c r="V356" s="2" t="b">
        <f t="shared" si="63"/>
        <v>0</v>
      </c>
      <c r="AA356" s="2" t="str">
        <f t="shared" si="64"/>
        <v/>
      </c>
      <c r="AB356" s="2" t="b">
        <f t="shared" si="65"/>
        <v>0</v>
      </c>
    </row>
    <row r="357" spans="1:28" x14ac:dyDescent="0.3">
      <c r="A357" s="2">
        <v>356</v>
      </c>
      <c r="B357" s="4"/>
      <c r="C357" s="4" t="s">
        <v>41</v>
      </c>
      <c r="D357" s="3"/>
      <c r="E357" s="3"/>
      <c r="F357" s="3"/>
      <c r="G357" s="3"/>
      <c r="H357" s="4"/>
      <c r="I357" s="4"/>
      <c r="J357" s="4"/>
      <c r="K357" s="4"/>
      <c r="L357" s="4"/>
      <c r="M357" s="4"/>
      <c r="N357" s="2" t="str">
        <f t="shared" si="55"/>
        <v/>
      </c>
      <c r="O357" s="2" t="str">
        <f t="shared" si="56"/>
        <v/>
      </c>
      <c r="P357" s="2" t="str">
        <f t="shared" si="57"/>
        <v/>
      </c>
      <c r="Q357" s="2" t="str">
        <f t="shared" si="58"/>
        <v/>
      </c>
      <c r="R357" s="2" t="str">
        <f t="shared" si="59"/>
        <v/>
      </c>
      <c r="S357" s="2" t="str">
        <f t="shared" si="60"/>
        <v/>
      </c>
      <c r="T357" s="2" t="str">
        <f t="shared" si="61"/>
        <v/>
      </c>
      <c r="U357" s="2" t="str">
        <f t="shared" si="62"/>
        <v/>
      </c>
      <c r="V357" s="2" t="b">
        <f t="shared" si="63"/>
        <v>0</v>
      </c>
      <c r="AA357" s="2" t="str">
        <f t="shared" si="64"/>
        <v/>
      </c>
      <c r="AB357" s="2" t="b">
        <f t="shared" si="65"/>
        <v>0</v>
      </c>
    </row>
    <row r="358" spans="1:28" x14ac:dyDescent="0.3">
      <c r="A358" s="2">
        <v>357</v>
      </c>
      <c r="B358" s="4"/>
      <c r="C358" s="4" t="s">
        <v>41</v>
      </c>
      <c r="D358" s="3"/>
      <c r="E358" s="3"/>
      <c r="F358" s="3"/>
      <c r="G358" s="3"/>
      <c r="H358" s="4"/>
      <c r="I358" s="4"/>
      <c r="J358" s="4"/>
      <c r="K358" s="4"/>
      <c r="L358" s="4"/>
      <c r="M358" s="4"/>
      <c r="N358" s="2" t="str">
        <f t="shared" si="55"/>
        <v/>
      </c>
      <c r="O358" s="2" t="str">
        <f t="shared" si="56"/>
        <v/>
      </c>
      <c r="P358" s="2" t="str">
        <f t="shared" si="57"/>
        <v/>
      </c>
      <c r="Q358" s="2" t="str">
        <f t="shared" si="58"/>
        <v/>
      </c>
      <c r="R358" s="2" t="str">
        <f t="shared" si="59"/>
        <v/>
      </c>
      <c r="S358" s="2" t="str">
        <f t="shared" si="60"/>
        <v/>
      </c>
      <c r="T358" s="2" t="str">
        <f t="shared" si="61"/>
        <v/>
      </c>
      <c r="U358" s="2" t="str">
        <f t="shared" si="62"/>
        <v/>
      </c>
      <c r="V358" s="2" t="b">
        <f t="shared" si="63"/>
        <v>0</v>
      </c>
      <c r="AA358" s="2" t="str">
        <f t="shared" si="64"/>
        <v/>
      </c>
      <c r="AB358" s="2" t="b">
        <f t="shared" si="65"/>
        <v>0</v>
      </c>
    </row>
    <row r="359" spans="1:28" x14ac:dyDescent="0.3">
      <c r="A359" s="2">
        <v>358</v>
      </c>
      <c r="B359" s="4"/>
      <c r="C359" s="4" t="s">
        <v>41</v>
      </c>
      <c r="D359" s="3"/>
      <c r="E359" s="3"/>
      <c r="F359" s="3"/>
      <c r="G359" s="3"/>
      <c r="H359" s="4"/>
      <c r="I359" s="4"/>
      <c r="J359" s="4"/>
      <c r="K359" s="4"/>
      <c r="L359" s="4"/>
      <c r="M359" s="4"/>
      <c r="N359" s="2" t="str">
        <f t="shared" si="55"/>
        <v/>
      </c>
      <c r="O359" s="2" t="str">
        <f t="shared" si="56"/>
        <v/>
      </c>
      <c r="P359" s="2" t="str">
        <f t="shared" si="57"/>
        <v/>
      </c>
      <c r="Q359" s="2" t="str">
        <f t="shared" si="58"/>
        <v/>
      </c>
      <c r="R359" s="2" t="str">
        <f t="shared" si="59"/>
        <v/>
      </c>
      <c r="S359" s="2" t="str">
        <f t="shared" si="60"/>
        <v/>
      </c>
      <c r="T359" s="2" t="str">
        <f t="shared" si="61"/>
        <v/>
      </c>
      <c r="U359" s="2" t="str">
        <f t="shared" si="62"/>
        <v/>
      </c>
      <c r="V359" s="2" t="b">
        <f t="shared" si="63"/>
        <v>0</v>
      </c>
      <c r="AA359" s="2" t="str">
        <f t="shared" si="64"/>
        <v/>
      </c>
      <c r="AB359" s="2" t="b">
        <f t="shared" si="65"/>
        <v>0</v>
      </c>
    </row>
    <row r="360" spans="1:28" x14ac:dyDescent="0.3">
      <c r="A360" s="2">
        <v>359</v>
      </c>
      <c r="B360" s="4"/>
      <c r="C360" s="4" t="s">
        <v>41</v>
      </c>
      <c r="D360" s="3"/>
      <c r="E360" s="3"/>
      <c r="F360" s="3"/>
      <c r="G360" s="3"/>
      <c r="H360" s="4"/>
      <c r="I360" s="4"/>
      <c r="J360" s="4"/>
      <c r="K360" s="4"/>
      <c r="L360" s="4"/>
      <c r="M360" s="4"/>
      <c r="N360" s="2" t="str">
        <f t="shared" si="55"/>
        <v/>
      </c>
      <c r="O360" s="2" t="str">
        <f t="shared" si="56"/>
        <v/>
      </c>
      <c r="P360" s="2" t="str">
        <f t="shared" si="57"/>
        <v/>
      </c>
      <c r="Q360" s="2" t="str">
        <f t="shared" si="58"/>
        <v/>
      </c>
      <c r="R360" s="2" t="str">
        <f t="shared" si="59"/>
        <v/>
      </c>
      <c r="S360" s="2" t="str">
        <f t="shared" si="60"/>
        <v/>
      </c>
      <c r="T360" s="2" t="str">
        <f t="shared" si="61"/>
        <v/>
      </c>
      <c r="U360" s="2" t="str">
        <f t="shared" si="62"/>
        <v/>
      </c>
      <c r="V360" s="2" t="b">
        <f t="shared" si="63"/>
        <v>0</v>
      </c>
      <c r="AA360" s="2" t="str">
        <f t="shared" si="64"/>
        <v/>
      </c>
      <c r="AB360" s="2" t="b">
        <f t="shared" si="65"/>
        <v>0</v>
      </c>
    </row>
    <row r="361" spans="1:28" x14ac:dyDescent="0.3">
      <c r="A361" s="2">
        <v>360</v>
      </c>
      <c r="B361" s="4"/>
      <c r="C361" s="4" t="s">
        <v>41</v>
      </c>
      <c r="D361" s="3"/>
      <c r="E361" s="3"/>
      <c r="F361" s="3"/>
      <c r="G361" s="3"/>
      <c r="H361" s="4"/>
      <c r="I361" s="4"/>
      <c r="J361" s="4"/>
      <c r="K361" s="4"/>
      <c r="L361" s="4"/>
      <c r="M361" s="4"/>
      <c r="N361" s="2" t="str">
        <f t="shared" si="55"/>
        <v/>
      </c>
      <c r="O361" s="2" t="str">
        <f t="shared" si="56"/>
        <v/>
      </c>
      <c r="P361" s="2" t="str">
        <f t="shared" si="57"/>
        <v/>
      </c>
      <c r="Q361" s="2" t="str">
        <f t="shared" si="58"/>
        <v/>
      </c>
      <c r="R361" s="2" t="str">
        <f t="shared" si="59"/>
        <v/>
      </c>
      <c r="S361" s="2" t="str">
        <f t="shared" si="60"/>
        <v/>
      </c>
      <c r="T361" s="2" t="str">
        <f t="shared" si="61"/>
        <v/>
      </c>
      <c r="U361" s="2" t="str">
        <f t="shared" si="62"/>
        <v/>
      </c>
      <c r="V361" s="2" t="b">
        <f t="shared" si="63"/>
        <v>0</v>
      </c>
      <c r="AA361" s="2" t="str">
        <f t="shared" si="64"/>
        <v/>
      </c>
      <c r="AB361" s="2" t="b">
        <f t="shared" si="65"/>
        <v>0</v>
      </c>
    </row>
    <row r="362" spans="1:28" x14ac:dyDescent="0.3">
      <c r="A362" s="2">
        <v>361</v>
      </c>
      <c r="B362" s="4"/>
      <c r="C362" s="4" t="s">
        <v>41</v>
      </c>
      <c r="D362" s="3"/>
      <c r="E362" s="3"/>
      <c r="F362" s="3"/>
      <c r="G362" s="3"/>
      <c r="H362" s="4"/>
      <c r="I362" s="4"/>
      <c r="J362" s="4"/>
      <c r="K362" s="4"/>
      <c r="L362" s="4"/>
      <c r="M362" s="4"/>
      <c r="N362" s="2" t="str">
        <f t="shared" si="55"/>
        <v/>
      </c>
      <c r="O362" s="2" t="str">
        <f t="shared" si="56"/>
        <v/>
      </c>
      <c r="P362" s="2" t="str">
        <f t="shared" si="57"/>
        <v/>
      </c>
      <c r="Q362" s="2" t="str">
        <f t="shared" si="58"/>
        <v/>
      </c>
      <c r="R362" s="2" t="str">
        <f t="shared" si="59"/>
        <v/>
      </c>
      <c r="S362" s="2" t="str">
        <f t="shared" si="60"/>
        <v/>
      </c>
      <c r="T362" s="2" t="str">
        <f t="shared" si="61"/>
        <v/>
      </c>
      <c r="U362" s="2" t="str">
        <f t="shared" si="62"/>
        <v/>
      </c>
      <c r="V362" s="2" t="b">
        <f t="shared" si="63"/>
        <v>0</v>
      </c>
      <c r="AA362" s="2" t="str">
        <f t="shared" si="64"/>
        <v/>
      </c>
      <c r="AB362" s="2" t="b">
        <f t="shared" si="65"/>
        <v>0</v>
      </c>
    </row>
    <row r="363" spans="1:28" x14ac:dyDescent="0.3">
      <c r="A363" s="2">
        <v>362</v>
      </c>
      <c r="B363" s="4"/>
      <c r="C363" s="4" t="s">
        <v>41</v>
      </c>
      <c r="D363" s="3"/>
      <c r="E363" s="3"/>
      <c r="F363" s="3"/>
      <c r="G363" s="3"/>
      <c r="H363" s="4"/>
      <c r="I363" s="4"/>
      <c r="J363" s="4"/>
      <c r="K363" s="4"/>
      <c r="L363" s="4"/>
      <c r="M363" s="4"/>
      <c r="N363" s="2" t="str">
        <f t="shared" si="55"/>
        <v/>
      </c>
      <c r="O363" s="2" t="str">
        <f t="shared" si="56"/>
        <v/>
      </c>
      <c r="P363" s="2" t="str">
        <f t="shared" si="57"/>
        <v/>
      </c>
      <c r="Q363" s="2" t="str">
        <f t="shared" si="58"/>
        <v/>
      </c>
      <c r="R363" s="2" t="str">
        <f t="shared" si="59"/>
        <v/>
      </c>
      <c r="S363" s="2" t="str">
        <f t="shared" si="60"/>
        <v/>
      </c>
      <c r="T363" s="2" t="str">
        <f t="shared" si="61"/>
        <v/>
      </c>
      <c r="U363" s="2" t="str">
        <f t="shared" si="62"/>
        <v/>
      </c>
      <c r="V363" s="2" t="b">
        <f t="shared" si="63"/>
        <v>0</v>
      </c>
      <c r="AA363" s="2" t="str">
        <f t="shared" si="64"/>
        <v/>
      </c>
      <c r="AB363" s="2" t="b">
        <f t="shared" si="65"/>
        <v>0</v>
      </c>
    </row>
    <row r="364" spans="1:28" x14ac:dyDescent="0.3">
      <c r="A364" s="2">
        <v>363</v>
      </c>
      <c r="B364" s="4"/>
      <c r="C364" s="4" t="s">
        <v>41</v>
      </c>
      <c r="D364" s="3"/>
      <c r="E364" s="3"/>
      <c r="F364" s="3"/>
      <c r="G364" s="3"/>
      <c r="H364" s="4"/>
      <c r="I364" s="4"/>
      <c r="J364" s="4"/>
      <c r="K364" s="4"/>
      <c r="L364" s="4"/>
      <c r="M364" s="4"/>
      <c r="N364" s="2" t="str">
        <f t="shared" si="55"/>
        <v/>
      </c>
      <c r="O364" s="2" t="str">
        <f t="shared" si="56"/>
        <v/>
      </c>
      <c r="P364" s="2" t="str">
        <f t="shared" si="57"/>
        <v/>
      </c>
      <c r="Q364" s="2" t="str">
        <f t="shared" si="58"/>
        <v/>
      </c>
      <c r="R364" s="2" t="str">
        <f t="shared" si="59"/>
        <v/>
      </c>
      <c r="S364" s="2" t="str">
        <f t="shared" si="60"/>
        <v/>
      </c>
      <c r="T364" s="2" t="str">
        <f t="shared" si="61"/>
        <v/>
      </c>
      <c r="U364" s="2" t="str">
        <f t="shared" si="62"/>
        <v/>
      </c>
      <c r="V364" s="2" t="b">
        <f t="shared" si="63"/>
        <v>0</v>
      </c>
      <c r="AA364" s="2" t="str">
        <f t="shared" si="64"/>
        <v/>
      </c>
      <c r="AB364" s="2" t="b">
        <f t="shared" si="65"/>
        <v>0</v>
      </c>
    </row>
    <row r="365" spans="1:28" x14ac:dyDescent="0.3">
      <c r="A365" s="2">
        <v>364</v>
      </c>
      <c r="B365" s="4"/>
      <c r="C365" s="4" t="s">
        <v>41</v>
      </c>
      <c r="D365" s="3"/>
      <c r="E365" s="3"/>
      <c r="F365" s="3"/>
      <c r="G365" s="3"/>
      <c r="H365" s="4"/>
      <c r="I365" s="4"/>
      <c r="J365" s="4"/>
      <c r="K365" s="4"/>
      <c r="L365" s="4"/>
      <c r="M365" s="4"/>
      <c r="N365" s="2" t="str">
        <f t="shared" si="55"/>
        <v/>
      </c>
      <c r="O365" s="2" t="str">
        <f t="shared" si="56"/>
        <v/>
      </c>
      <c r="P365" s="2" t="str">
        <f t="shared" si="57"/>
        <v/>
      </c>
      <c r="Q365" s="2" t="str">
        <f t="shared" si="58"/>
        <v/>
      </c>
      <c r="R365" s="2" t="str">
        <f t="shared" si="59"/>
        <v/>
      </c>
      <c r="S365" s="2" t="str">
        <f t="shared" si="60"/>
        <v/>
      </c>
      <c r="T365" s="2" t="str">
        <f t="shared" si="61"/>
        <v/>
      </c>
      <c r="U365" s="2" t="str">
        <f t="shared" si="62"/>
        <v/>
      </c>
      <c r="V365" s="2" t="b">
        <f t="shared" si="63"/>
        <v>0</v>
      </c>
      <c r="AA365" s="2" t="str">
        <f t="shared" si="64"/>
        <v/>
      </c>
      <c r="AB365" s="2" t="b">
        <f t="shared" si="65"/>
        <v>0</v>
      </c>
    </row>
    <row r="366" spans="1:28" x14ac:dyDescent="0.3">
      <c r="A366" s="2">
        <v>365</v>
      </c>
      <c r="B366" s="4"/>
      <c r="C366" s="4" t="s">
        <v>41</v>
      </c>
      <c r="D366" s="3"/>
      <c r="E366" s="3"/>
      <c r="F366" s="3"/>
      <c r="G366" s="3"/>
      <c r="H366" s="4"/>
      <c r="I366" s="4"/>
      <c r="J366" s="4"/>
      <c r="K366" s="4"/>
      <c r="L366" s="4"/>
      <c r="M366" s="4"/>
      <c r="N366" s="2" t="str">
        <f t="shared" si="55"/>
        <v/>
      </c>
      <c r="O366" s="2" t="str">
        <f t="shared" si="56"/>
        <v/>
      </c>
      <c r="P366" s="2" t="str">
        <f t="shared" si="57"/>
        <v/>
      </c>
      <c r="Q366" s="2" t="str">
        <f t="shared" si="58"/>
        <v/>
      </c>
      <c r="R366" s="2" t="str">
        <f t="shared" si="59"/>
        <v/>
      </c>
      <c r="S366" s="2" t="str">
        <f t="shared" si="60"/>
        <v/>
      </c>
      <c r="T366" s="2" t="str">
        <f t="shared" si="61"/>
        <v/>
      </c>
      <c r="U366" s="2" t="str">
        <f t="shared" si="62"/>
        <v/>
      </c>
      <c r="V366" s="2" t="b">
        <f t="shared" si="63"/>
        <v>0</v>
      </c>
      <c r="AA366" s="2" t="str">
        <f t="shared" si="64"/>
        <v/>
      </c>
      <c r="AB366" s="2" t="b">
        <f t="shared" si="65"/>
        <v>0</v>
      </c>
    </row>
    <row r="367" spans="1:28" x14ac:dyDescent="0.3">
      <c r="A367" s="2">
        <v>366</v>
      </c>
      <c r="B367" s="4"/>
      <c r="C367" s="4" t="s">
        <v>41</v>
      </c>
      <c r="D367" s="3"/>
      <c r="E367" s="3"/>
      <c r="F367" s="3"/>
      <c r="G367" s="3"/>
      <c r="H367" s="4"/>
      <c r="I367" s="4"/>
      <c r="J367" s="4"/>
      <c r="K367" s="4"/>
      <c r="L367" s="4"/>
      <c r="M367" s="4"/>
      <c r="N367" s="2" t="str">
        <f t="shared" si="55"/>
        <v/>
      </c>
      <c r="O367" s="2" t="str">
        <f t="shared" si="56"/>
        <v/>
      </c>
      <c r="P367" s="2" t="str">
        <f t="shared" si="57"/>
        <v/>
      </c>
      <c r="Q367" s="2" t="str">
        <f t="shared" si="58"/>
        <v/>
      </c>
      <c r="R367" s="2" t="str">
        <f t="shared" si="59"/>
        <v/>
      </c>
      <c r="S367" s="2" t="str">
        <f t="shared" si="60"/>
        <v/>
      </c>
      <c r="T367" s="2" t="str">
        <f t="shared" si="61"/>
        <v/>
      </c>
      <c r="U367" s="2" t="str">
        <f t="shared" si="62"/>
        <v/>
      </c>
      <c r="V367" s="2" t="b">
        <f t="shared" si="63"/>
        <v>0</v>
      </c>
      <c r="AA367" s="2" t="str">
        <f t="shared" si="64"/>
        <v/>
      </c>
      <c r="AB367" s="2" t="b">
        <f t="shared" si="65"/>
        <v>0</v>
      </c>
    </row>
    <row r="368" spans="1:28" x14ac:dyDescent="0.3">
      <c r="A368" s="2">
        <v>367</v>
      </c>
      <c r="B368" s="4"/>
      <c r="C368" s="4" t="s">
        <v>41</v>
      </c>
      <c r="D368" s="3"/>
      <c r="E368" s="3"/>
      <c r="F368" s="3"/>
      <c r="G368" s="3"/>
      <c r="H368" s="4"/>
      <c r="I368" s="4"/>
      <c r="J368" s="4"/>
      <c r="K368" s="4"/>
      <c r="L368" s="4"/>
      <c r="M368" s="4"/>
      <c r="N368" s="2" t="str">
        <f t="shared" si="55"/>
        <v/>
      </c>
      <c r="O368" s="2" t="str">
        <f t="shared" si="56"/>
        <v/>
      </c>
      <c r="P368" s="2" t="str">
        <f t="shared" si="57"/>
        <v/>
      </c>
      <c r="Q368" s="2" t="str">
        <f t="shared" si="58"/>
        <v/>
      </c>
      <c r="R368" s="2" t="str">
        <f t="shared" si="59"/>
        <v/>
      </c>
      <c r="S368" s="2" t="str">
        <f t="shared" si="60"/>
        <v/>
      </c>
      <c r="T368" s="2" t="str">
        <f t="shared" si="61"/>
        <v/>
      </c>
      <c r="U368" s="2" t="str">
        <f t="shared" si="62"/>
        <v/>
      </c>
      <c r="V368" s="2" t="b">
        <f t="shared" si="63"/>
        <v>0</v>
      </c>
      <c r="AA368" s="2" t="str">
        <f t="shared" si="64"/>
        <v/>
      </c>
      <c r="AB368" s="2" t="b">
        <f t="shared" si="65"/>
        <v>0</v>
      </c>
    </row>
    <row r="369" spans="1:28" x14ac:dyDescent="0.3">
      <c r="A369" s="2">
        <v>368</v>
      </c>
      <c r="B369" s="4"/>
      <c r="C369" s="4" t="s">
        <v>41</v>
      </c>
      <c r="D369" s="3"/>
      <c r="E369" s="3"/>
      <c r="F369" s="3"/>
      <c r="G369" s="3"/>
      <c r="H369" s="4"/>
      <c r="I369" s="4"/>
      <c r="J369" s="4"/>
      <c r="K369" s="4"/>
      <c r="L369" s="4"/>
      <c r="M369" s="4"/>
      <c r="N369" s="2" t="str">
        <f t="shared" si="55"/>
        <v/>
      </c>
      <c r="O369" s="2" t="str">
        <f t="shared" si="56"/>
        <v/>
      </c>
      <c r="P369" s="2" t="str">
        <f t="shared" si="57"/>
        <v/>
      </c>
      <c r="Q369" s="2" t="str">
        <f t="shared" si="58"/>
        <v/>
      </c>
      <c r="R369" s="2" t="str">
        <f t="shared" si="59"/>
        <v/>
      </c>
      <c r="S369" s="2" t="str">
        <f t="shared" si="60"/>
        <v/>
      </c>
      <c r="T369" s="2" t="str">
        <f t="shared" si="61"/>
        <v/>
      </c>
      <c r="U369" s="2" t="str">
        <f t="shared" si="62"/>
        <v/>
      </c>
      <c r="V369" s="2" t="b">
        <f t="shared" si="63"/>
        <v>0</v>
      </c>
      <c r="AA369" s="2" t="str">
        <f t="shared" si="64"/>
        <v/>
      </c>
      <c r="AB369" s="2" t="b">
        <f t="shared" si="65"/>
        <v>0</v>
      </c>
    </row>
    <row r="370" spans="1:28" x14ac:dyDescent="0.3">
      <c r="A370" s="2">
        <v>369</v>
      </c>
      <c r="B370" s="4"/>
      <c r="C370" s="4" t="s">
        <v>41</v>
      </c>
      <c r="D370" s="3"/>
      <c r="E370" s="3"/>
      <c r="F370" s="3"/>
      <c r="G370" s="3"/>
      <c r="H370" s="4"/>
      <c r="I370" s="4"/>
      <c r="J370" s="4"/>
      <c r="K370" s="4"/>
      <c r="L370" s="4"/>
      <c r="M370" s="4"/>
      <c r="N370" s="2" t="str">
        <f t="shared" si="55"/>
        <v/>
      </c>
      <c r="O370" s="2" t="str">
        <f t="shared" si="56"/>
        <v/>
      </c>
      <c r="P370" s="2" t="str">
        <f t="shared" si="57"/>
        <v/>
      </c>
      <c r="Q370" s="2" t="str">
        <f t="shared" si="58"/>
        <v/>
      </c>
      <c r="R370" s="2" t="str">
        <f t="shared" si="59"/>
        <v/>
      </c>
      <c r="S370" s="2" t="str">
        <f t="shared" si="60"/>
        <v/>
      </c>
      <c r="T370" s="2" t="str">
        <f t="shared" si="61"/>
        <v/>
      </c>
      <c r="U370" s="2" t="str">
        <f t="shared" si="62"/>
        <v/>
      </c>
      <c r="V370" s="2" t="b">
        <f t="shared" si="63"/>
        <v>0</v>
      </c>
      <c r="AA370" s="2" t="str">
        <f t="shared" si="64"/>
        <v/>
      </c>
      <c r="AB370" s="2" t="b">
        <f t="shared" si="65"/>
        <v>0</v>
      </c>
    </row>
    <row r="371" spans="1:28" x14ac:dyDescent="0.3">
      <c r="A371" s="2">
        <v>370</v>
      </c>
      <c r="B371" s="4"/>
      <c r="C371" s="4" t="s">
        <v>41</v>
      </c>
      <c r="D371" s="3"/>
      <c r="E371" s="3"/>
      <c r="F371" s="3"/>
      <c r="G371" s="3"/>
      <c r="H371" s="4"/>
      <c r="I371" s="4"/>
      <c r="J371" s="4"/>
      <c r="K371" s="4"/>
      <c r="L371" s="4"/>
      <c r="M371" s="4"/>
      <c r="N371" s="2" t="str">
        <f t="shared" si="55"/>
        <v/>
      </c>
      <c r="O371" s="2" t="str">
        <f t="shared" si="56"/>
        <v/>
      </c>
      <c r="P371" s="2" t="str">
        <f t="shared" si="57"/>
        <v/>
      </c>
      <c r="Q371" s="2" t="str">
        <f t="shared" si="58"/>
        <v/>
      </c>
      <c r="R371" s="2" t="str">
        <f t="shared" si="59"/>
        <v/>
      </c>
      <c r="S371" s="2" t="str">
        <f t="shared" si="60"/>
        <v/>
      </c>
      <c r="T371" s="2" t="str">
        <f t="shared" si="61"/>
        <v/>
      </c>
      <c r="U371" s="2" t="str">
        <f t="shared" si="62"/>
        <v/>
      </c>
      <c r="V371" s="2" t="b">
        <f t="shared" si="63"/>
        <v>0</v>
      </c>
      <c r="AA371" s="2" t="str">
        <f t="shared" si="64"/>
        <v/>
      </c>
      <c r="AB371" s="2" t="b">
        <f t="shared" si="65"/>
        <v>0</v>
      </c>
    </row>
    <row r="372" spans="1:28" x14ac:dyDescent="0.3">
      <c r="A372" s="2">
        <v>371</v>
      </c>
      <c r="B372" s="4"/>
      <c r="C372" s="4" t="s">
        <v>41</v>
      </c>
      <c r="D372" s="3"/>
      <c r="E372" s="3"/>
      <c r="F372" s="3"/>
      <c r="G372" s="3"/>
      <c r="H372" s="4"/>
      <c r="I372" s="4"/>
      <c r="J372" s="4"/>
      <c r="K372" s="4"/>
      <c r="L372" s="4"/>
      <c r="M372" s="4"/>
      <c r="N372" s="2" t="str">
        <f t="shared" si="55"/>
        <v/>
      </c>
      <c r="O372" s="2" t="str">
        <f t="shared" si="56"/>
        <v/>
      </c>
      <c r="P372" s="2" t="str">
        <f t="shared" si="57"/>
        <v/>
      </c>
      <c r="Q372" s="2" t="str">
        <f t="shared" si="58"/>
        <v/>
      </c>
      <c r="R372" s="2" t="str">
        <f t="shared" si="59"/>
        <v/>
      </c>
      <c r="S372" s="2" t="str">
        <f t="shared" si="60"/>
        <v/>
      </c>
      <c r="T372" s="2" t="str">
        <f t="shared" si="61"/>
        <v/>
      </c>
      <c r="U372" s="2" t="str">
        <f t="shared" si="62"/>
        <v/>
      </c>
      <c r="V372" s="2" t="b">
        <f t="shared" si="63"/>
        <v>0</v>
      </c>
      <c r="AA372" s="2" t="str">
        <f t="shared" si="64"/>
        <v/>
      </c>
      <c r="AB372" s="2" t="b">
        <f t="shared" si="65"/>
        <v>0</v>
      </c>
    </row>
    <row r="373" spans="1:28" x14ac:dyDescent="0.3">
      <c r="A373" s="2">
        <v>372</v>
      </c>
      <c r="B373" s="4"/>
      <c r="C373" s="4" t="s">
        <v>41</v>
      </c>
      <c r="D373" s="3"/>
      <c r="E373" s="3"/>
      <c r="F373" s="3"/>
      <c r="G373" s="3"/>
      <c r="H373" s="4"/>
      <c r="I373" s="4"/>
      <c r="J373" s="4"/>
      <c r="K373" s="4"/>
      <c r="L373" s="4"/>
      <c r="M373" s="4"/>
      <c r="N373" s="2" t="str">
        <f t="shared" si="55"/>
        <v/>
      </c>
      <c r="O373" s="2" t="str">
        <f t="shared" si="56"/>
        <v/>
      </c>
      <c r="P373" s="2" t="str">
        <f t="shared" si="57"/>
        <v/>
      </c>
      <c r="Q373" s="2" t="str">
        <f t="shared" si="58"/>
        <v/>
      </c>
      <c r="R373" s="2" t="str">
        <f t="shared" si="59"/>
        <v/>
      </c>
      <c r="S373" s="2" t="str">
        <f t="shared" si="60"/>
        <v/>
      </c>
      <c r="T373" s="2" t="str">
        <f t="shared" si="61"/>
        <v/>
      </c>
      <c r="U373" s="2" t="str">
        <f t="shared" si="62"/>
        <v/>
      </c>
      <c r="V373" s="2" t="b">
        <f t="shared" si="63"/>
        <v>0</v>
      </c>
      <c r="AA373" s="2" t="str">
        <f t="shared" si="64"/>
        <v/>
      </c>
      <c r="AB373" s="2" t="b">
        <f t="shared" si="65"/>
        <v>0</v>
      </c>
    </row>
    <row r="374" spans="1:28" x14ac:dyDescent="0.3">
      <c r="A374" s="2">
        <v>373</v>
      </c>
      <c r="B374" s="4"/>
      <c r="C374" s="4" t="s">
        <v>41</v>
      </c>
      <c r="D374" s="3"/>
      <c r="E374" s="3"/>
      <c r="F374" s="3"/>
      <c r="G374" s="3"/>
      <c r="H374" s="4"/>
      <c r="I374" s="4"/>
      <c r="J374" s="4"/>
      <c r="K374" s="4"/>
      <c r="L374" s="4"/>
      <c r="M374" s="4"/>
      <c r="N374" s="2" t="str">
        <f t="shared" si="55"/>
        <v/>
      </c>
      <c r="O374" s="2" t="str">
        <f t="shared" si="56"/>
        <v/>
      </c>
      <c r="P374" s="2" t="str">
        <f t="shared" si="57"/>
        <v/>
      </c>
      <c r="Q374" s="2" t="str">
        <f t="shared" si="58"/>
        <v/>
      </c>
      <c r="R374" s="2" t="str">
        <f t="shared" si="59"/>
        <v/>
      </c>
      <c r="S374" s="2" t="str">
        <f t="shared" si="60"/>
        <v/>
      </c>
      <c r="T374" s="2" t="str">
        <f t="shared" si="61"/>
        <v/>
      </c>
      <c r="U374" s="2" t="str">
        <f t="shared" si="62"/>
        <v/>
      </c>
      <c r="V374" s="2" t="b">
        <f t="shared" si="63"/>
        <v>0</v>
      </c>
      <c r="AA374" s="2" t="str">
        <f t="shared" si="64"/>
        <v/>
      </c>
      <c r="AB374" s="2" t="b">
        <f t="shared" si="65"/>
        <v>0</v>
      </c>
    </row>
    <row r="375" spans="1:28" x14ac:dyDescent="0.3">
      <c r="A375" s="2">
        <v>374</v>
      </c>
      <c r="B375" s="4"/>
      <c r="C375" s="4" t="s">
        <v>41</v>
      </c>
      <c r="D375" s="3"/>
      <c r="E375" s="3"/>
      <c r="F375" s="3"/>
      <c r="G375" s="3"/>
      <c r="H375" s="4"/>
      <c r="I375" s="4"/>
      <c r="J375" s="4"/>
      <c r="K375" s="4"/>
      <c r="L375" s="4"/>
      <c r="M375" s="4"/>
      <c r="N375" s="2" t="str">
        <f t="shared" si="55"/>
        <v/>
      </c>
      <c r="O375" s="2" t="str">
        <f t="shared" si="56"/>
        <v/>
      </c>
      <c r="P375" s="2" t="str">
        <f t="shared" si="57"/>
        <v/>
      </c>
      <c r="Q375" s="2" t="str">
        <f t="shared" si="58"/>
        <v/>
      </c>
      <c r="R375" s="2" t="str">
        <f t="shared" si="59"/>
        <v/>
      </c>
      <c r="S375" s="2" t="str">
        <f t="shared" si="60"/>
        <v/>
      </c>
      <c r="T375" s="2" t="str">
        <f t="shared" si="61"/>
        <v/>
      </c>
      <c r="U375" s="2" t="str">
        <f t="shared" si="62"/>
        <v/>
      </c>
      <c r="V375" s="2" t="b">
        <f t="shared" si="63"/>
        <v>0</v>
      </c>
      <c r="AA375" s="2" t="str">
        <f t="shared" si="64"/>
        <v/>
      </c>
      <c r="AB375" s="2" t="b">
        <f t="shared" si="65"/>
        <v>0</v>
      </c>
    </row>
    <row r="376" spans="1:28" x14ac:dyDescent="0.3">
      <c r="A376" s="2">
        <v>375</v>
      </c>
      <c r="B376" s="4"/>
      <c r="C376" s="4" t="s">
        <v>41</v>
      </c>
      <c r="D376" s="3"/>
      <c r="E376" s="3"/>
      <c r="F376" s="3"/>
      <c r="G376" s="3"/>
      <c r="H376" s="4"/>
      <c r="I376" s="4"/>
      <c r="J376" s="4"/>
      <c r="K376" s="4"/>
      <c r="L376" s="4"/>
      <c r="M376" s="4"/>
      <c r="N376" s="2" t="str">
        <f t="shared" si="55"/>
        <v/>
      </c>
      <c r="O376" s="2" t="str">
        <f t="shared" si="56"/>
        <v/>
      </c>
      <c r="P376" s="2" t="str">
        <f t="shared" si="57"/>
        <v/>
      </c>
      <c r="Q376" s="2" t="str">
        <f t="shared" si="58"/>
        <v/>
      </c>
      <c r="R376" s="2" t="str">
        <f t="shared" si="59"/>
        <v/>
      </c>
      <c r="S376" s="2" t="str">
        <f t="shared" si="60"/>
        <v/>
      </c>
      <c r="T376" s="2" t="str">
        <f t="shared" si="61"/>
        <v/>
      </c>
      <c r="U376" s="2" t="str">
        <f t="shared" si="62"/>
        <v/>
      </c>
      <c r="V376" s="2" t="b">
        <f t="shared" si="63"/>
        <v>0</v>
      </c>
      <c r="AA376" s="2" t="str">
        <f t="shared" si="64"/>
        <v/>
      </c>
      <c r="AB376" s="2" t="b">
        <f t="shared" si="65"/>
        <v>0</v>
      </c>
    </row>
    <row r="377" spans="1:28" x14ac:dyDescent="0.3">
      <c r="A377" s="2">
        <v>376</v>
      </c>
      <c r="B377" s="4"/>
      <c r="C377" s="4" t="s">
        <v>41</v>
      </c>
      <c r="D377" s="3"/>
      <c r="E377" s="3"/>
      <c r="F377" s="3"/>
      <c r="G377" s="3"/>
      <c r="H377" s="4"/>
      <c r="I377" s="4"/>
      <c r="J377" s="4"/>
      <c r="K377" s="4"/>
      <c r="L377" s="4"/>
      <c r="M377" s="4"/>
      <c r="N377" s="2" t="str">
        <f t="shared" si="55"/>
        <v/>
      </c>
      <c r="O377" s="2" t="str">
        <f t="shared" si="56"/>
        <v/>
      </c>
      <c r="P377" s="2" t="str">
        <f t="shared" si="57"/>
        <v/>
      </c>
      <c r="Q377" s="2" t="str">
        <f t="shared" si="58"/>
        <v/>
      </c>
      <c r="R377" s="2" t="str">
        <f t="shared" si="59"/>
        <v/>
      </c>
      <c r="S377" s="2" t="str">
        <f t="shared" si="60"/>
        <v/>
      </c>
      <c r="T377" s="2" t="str">
        <f t="shared" si="61"/>
        <v/>
      </c>
      <c r="U377" s="2" t="str">
        <f t="shared" si="62"/>
        <v/>
      </c>
      <c r="V377" s="2" t="b">
        <f t="shared" si="63"/>
        <v>0</v>
      </c>
      <c r="AA377" s="2" t="str">
        <f t="shared" si="64"/>
        <v/>
      </c>
      <c r="AB377" s="2" t="b">
        <f t="shared" si="65"/>
        <v>0</v>
      </c>
    </row>
    <row r="378" spans="1:28" x14ac:dyDescent="0.3">
      <c r="A378" s="2">
        <v>377</v>
      </c>
      <c r="B378" s="4"/>
      <c r="C378" s="4" t="s">
        <v>41</v>
      </c>
      <c r="D378" s="3"/>
      <c r="E378" s="3"/>
      <c r="F378" s="3"/>
      <c r="G378" s="3"/>
      <c r="H378" s="4"/>
      <c r="I378" s="4"/>
      <c r="J378" s="4"/>
      <c r="K378" s="4"/>
      <c r="L378" s="4"/>
      <c r="M378" s="4"/>
      <c r="N378" s="2" t="str">
        <f t="shared" si="55"/>
        <v/>
      </c>
      <c r="O378" s="2" t="str">
        <f t="shared" si="56"/>
        <v/>
      </c>
      <c r="P378" s="2" t="str">
        <f t="shared" si="57"/>
        <v/>
      </c>
      <c r="Q378" s="2" t="str">
        <f t="shared" si="58"/>
        <v/>
      </c>
      <c r="R378" s="2" t="str">
        <f t="shared" si="59"/>
        <v/>
      </c>
      <c r="S378" s="2" t="str">
        <f t="shared" si="60"/>
        <v/>
      </c>
      <c r="T378" s="2" t="str">
        <f t="shared" si="61"/>
        <v/>
      </c>
      <c r="U378" s="2" t="str">
        <f t="shared" si="62"/>
        <v/>
      </c>
      <c r="V378" s="2" t="b">
        <f t="shared" si="63"/>
        <v>0</v>
      </c>
      <c r="AA378" s="2" t="str">
        <f t="shared" si="64"/>
        <v/>
      </c>
      <c r="AB378" s="2" t="b">
        <f t="shared" si="65"/>
        <v>0</v>
      </c>
    </row>
    <row r="379" spans="1:28" x14ac:dyDescent="0.3">
      <c r="A379" s="2">
        <v>378</v>
      </c>
      <c r="B379" s="4"/>
      <c r="C379" s="4" t="s">
        <v>41</v>
      </c>
      <c r="D379" s="3"/>
      <c r="E379" s="3"/>
      <c r="F379" s="3"/>
      <c r="G379" s="3"/>
      <c r="H379" s="4"/>
      <c r="I379" s="4"/>
      <c r="J379" s="4"/>
      <c r="K379" s="4"/>
      <c r="L379" s="4"/>
      <c r="M379" s="4"/>
      <c r="N379" s="2" t="str">
        <f t="shared" si="55"/>
        <v/>
      </c>
      <c r="O379" s="2" t="str">
        <f t="shared" si="56"/>
        <v/>
      </c>
      <c r="P379" s="2" t="str">
        <f t="shared" si="57"/>
        <v/>
      </c>
      <c r="Q379" s="2" t="str">
        <f t="shared" si="58"/>
        <v/>
      </c>
      <c r="R379" s="2" t="str">
        <f t="shared" si="59"/>
        <v/>
      </c>
      <c r="S379" s="2" t="str">
        <f t="shared" si="60"/>
        <v/>
      </c>
      <c r="T379" s="2" t="str">
        <f t="shared" si="61"/>
        <v/>
      </c>
      <c r="U379" s="2" t="str">
        <f t="shared" si="62"/>
        <v/>
      </c>
      <c r="V379" s="2" t="b">
        <f t="shared" si="63"/>
        <v>0</v>
      </c>
      <c r="AA379" s="2" t="str">
        <f t="shared" si="64"/>
        <v/>
      </c>
      <c r="AB379" s="2" t="b">
        <f t="shared" si="65"/>
        <v>0</v>
      </c>
    </row>
    <row r="380" spans="1:28" x14ac:dyDescent="0.3">
      <c r="A380" s="2">
        <v>379</v>
      </c>
      <c r="B380" s="4"/>
      <c r="C380" s="4" t="s">
        <v>41</v>
      </c>
      <c r="D380" s="3"/>
      <c r="E380" s="3"/>
      <c r="F380" s="3"/>
      <c r="G380" s="3"/>
      <c r="H380" s="4"/>
      <c r="I380" s="4"/>
      <c r="J380" s="4"/>
      <c r="K380" s="4"/>
      <c r="L380" s="4"/>
      <c r="M380" s="4"/>
      <c r="N380" s="2" t="str">
        <f t="shared" si="55"/>
        <v/>
      </c>
      <c r="O380" s="2" t="str">
        <f t="shared" si="56"/>
        <v/>
      </c>
      <c r="P380" s="2" t="str">
        <f t="shared" si="57"/>
        <v/>
      </c>
      <c r="Q380" s="2" t="str">
        <f t="shared" si="58"/>
        <v/>
      </c>
      <c r="R380" s="2" t="str">
        <f t="shared" si="59"/>
        <v/>
      </c>
      <c r="S380" s="2" t="str">
        <f t="shared" si="60"/>
        <v/>
      </c>
      <c r="T380" s="2" t="str">
        <f t="shared" si="61"/>
        <v/>
      </c>
      <c r="U380" s="2" t="str">
        <f t="shared" si="62"/>
        <v/>
      </c>
      <c r="V380" s="2" t="b">
        <f t="shared" si="63"/>
        <v>0</v>
      </c>
      <c r="AA380" s="2" t="str">
        <f t="shared" si="64"/>
        <v/>
      </c>
      <c r="AB380" s="2" t="b">
        <f t="shared" si="65"/>
        <v>0</v>
      </c>
    </row>
    <row r="381" spans="1:28" x14ac:dyDescent="0.3">
      <c r="A381" s="2">
        <v>380</v>
      </c>
      <c r="B381" s="4"/>
      <c r="C381" s="4" t="s">
        <v>41</v>
      </c>
      <c r="D381" s="3"/>
      <c r="E381" s="3"/>
      <c r="F381" s="3"/>
      <c r="G381" s="3"/>
      <c r="H381" s="4"/>
      <c r="I381" s="4"/>
      <c r="J381" s="4"/>
      <c r="K381" s="4"/>
      <c r="L381" s="4"/>
      <c r="M381" s="4"/>
      <c r="N381" s="2" t="str">
        <f t="shared" si="55"/>
        <v/>
      </c>
      <c r="O381" s="2" t="str">
        <f t="shared" si="56"/>
        <v/>
      </c>
      <c r="P381" s="2" t="str">
        <f t="shared" si="57"/>
        <v/>
      </c>
      <c r="Q381" s="2" t="str">
        <f t="shared" si="58"/>
        <v/>
      </c>
      <c r="R381" s="2" t="str">
        <f t="shared" si="59"/>
        <v/>
      </c>
      <c r="S381" s="2" t="str">
        <f t="shared" si="60"/>
        <v/>
      </c>
      <c r="T381" s="2" t="str">
        <f t="shared" si="61"/>
        <v/>
      </c>
      <c r="U381" s="2" t="str">
        <f t="shared" si="62"/>
        <v/>
      </c>
      <c r="V381" s="2" t="b">
        <f t="shared" si="63"/>
        <v>0</v>
      </c>
      <c r="AA381" s="2" t="str">
        <f t="shared" si="64"/>
        <v/>
      </c>
      <c r="AB381" s="2" t="b">
        <f t="shared" si="65"/>
        <v>0</v>
      </c>
    </row>
    <row r="382" spans="1:28" x14ac:dyDescent="0.3">
      <c r="A382" s="2">
        <v>381</v>
      </c>
      <c r="B382" s="4"/>
      <c r="C382" s="4" t="s">
        <v>41</v>
      </c>
      <c r="D382" s="3"/>
      <c r="E382" s="3"/>
      <c r="F382" s="3"/>
      <c r="G382" s="3"/>
      <c r="H382" s="4"/>
      <c r="I382" s="4"/>
      <c r="J382" s="4"/>
      <c r="K382" s="4"/>
      <c r="L382" s="4"/>
      <c r="M382" s="4"/>
      <c r="N382" s="2" t="str">
        <f t="shared" si="55"/>
        <v/>
      </c>
      <c r="O382" s="2" t="str">
        <f t="shared" si="56"/>
        <v/>
      </c>
      <c r="P382" s="2" t="str">
        <f t="shared" si="57"/>
        <v/>
      </c>
      <c r="Q382" s="2" t="str">
        <f t="shared" si="58"/>
        <v/>
      </c>
      <c r="R382" s="2" t="str">
        <f t="shared" si="59"/>
        <v/>
      </c>
      <c r="S382" s="2" t="str">
        <f t="shared" si="60"/>
        <v/>
      </c>
      <c r="T382" s="2" t="str">
        <f t="shared" si="61"/>
        <v/>
      </c>
      <c r="U382" s="2" t="str">
        <f t="shared" si="62"/>
        <v/>
      </c>
      <c r="V382" s="2" t="b">
        <f t="shared" si="63"/>
        <v>0</v>
      </c>
      <c r="AA382" s="2" t="str">
        <f t="shared" si="64"/>
        <v/>
      </c>
      <c r="AB382" s="2" t="b">
        <f t="shared" si="65"/>
        <v>0</v>
      </c>
    </row>
    <row r="383" spans="1:28" x14ac:dyDescent="0.3">
      <c r="A383" s="2">
        <v>382</v>
      </c>
      <c r="B383" s="4"/>
      <c r="C383" s="4" t="s">
        <v>41</v>
      </c>
      <c r="D383" s="3"/>
      <c r="E383" s="3"/>
      <c r="F383" s="3"/>
      <c r="G383" s="3"/>
      <c r="H383" s="4"/>
      <c r="I383" s="4"/>
      <c r="J383" s="4"/>
      <c r="K383" s="4"/>
      <c r="L383" s="4"/>
      <c r="M383" s="4"/>
      <c r="N383" s="2" t="str">
        <f t="shared" si="55"/>
        <v/>
      </c>
      <c r="O383" s="2" t="str">
        <f t="shared" si="56"/>
        <v/>
      </c>
      <c r="P383" s="2" t="str">
        <f t="shared" si="57"/>
        <v/>
      </c>
      <c r="Q383" s="2" t="str">
        <f t="shared" si="58"/>
        <v/>
      </c>
      <c r="R383" s="2" t="str">
        <f t="shared" si="59"/>
        <v/>
      </c>
      <c r="S383" s="2" t="str">
        <f t="shared" si="60"/>
        <v/>
      </c>
      <c r="T383" s="2" t="str">
        <f t="shared" si="61"/>
        <v/>
      </c>
      <c r="U383" s="2" t="str">
        <f t="shared" si="62"/>
        <v/>
      </c>
      <c r="V383" s="2" t="b">
        <f t="shared" si="63"/>
        <v>0</v>
      </c>
      <c r="AA383" s="2" t="str">
        <f t="shared" si="64"/>
        <v/>
      </c>
      <c r="AB383" s="2" t="b">
        <f t="shared" si="65"/>
        <v>0</v>
      </c>
    </row>
    <row r="384" spans="1:28" x14ac:dyDescent="0.3">
      <c r="A384" s="2">
        <v>383</v>
      </c>
      <c r="B384" s="4"/>
      <c r="C384" s="4" t="s">
        <v>41</v>
      </c>
      <c r="D384" s="3"/>
      <c r="E384" s="3"/>
      <c r="F384" s="3"/>
      <c r="G384" s="3"/>
      <c r="H384" s="4"/>
      <c r="I384" s="4"/>
      <c r="J384" s="4"/>
      <c r="K384" s="4"/>
      <c r="L384" s="4"/>
      <c r="M384" s="4"/>
      <c r="N384" s="2" t="str">
        <f t="shared" si="55"/>
        <v/>
      </c>
      <c r="O384" s="2" t="str">
        <f t="shared" si="56"/>
        <v/>
      </c>
      <c r="P384" s="2" t="str">
        <f t="shared" si="57"/>
        <v/>
      </c>
      <c r="Q384" s="2" t="str">
        <f t="shared" si="58"/>
        <v/>
      </c>
      <c r="R384" s="2" t="str">
        <f t="shared" si="59"/>
        <v/>
      </c>
      <c r="S384" s="2" t="str">
        <f t="shared" si="60"/>
        <v/>
      </c>
      <c r="T384" s="2" t="str">
        <f t="shared" si="61"/>
        <v/>
      </c>
      <c r="U384" s="2" t="str">
        <f t="shared" si="62"/>
        <v/>
      </c>
      <c r="V384" s="2" t="b">
        <f t="shared" si="63"/>
        <v>0</v>
      </c>
      <c r="AA384" s="2" t="str">
        <f t="shared" si="64"/>
        <v/>
      </c>
      <c r="AB384" s="2" t="b">
        <f t="shared" si="65"/>
        <v>0</v>
      </c>
    </row>
    <row r="385" spans="1:28" x14ac:dyDescent="0.3">
      <c r="A385" s="2">
        <v>384</v>
      </c>
      <c r="B385" s="4"/>
      <c r="C385" s="4" t="s">
        <v>41</v>
      </c>
      <c r="D385" s="3"/>
      <c r="E385" s="3"/>
      <c r="F385" s="3"/>
      <c r="G385" s="3"/>
      <c r="H385" s="4"/>
      <c r="I385" s="4"/>
      <c r="J385" s="4"/>
      <c r="K385" s="4"/>
      <c r="L385" s="4"/>
      <c r="M385" s="4"/>
      <c r="N385" s="2" t="str">
        <f t="shared" si="55"/>
        <v/>
      </c>
      <c r="O385" s="2" t="str">
        <f t="shared" si="56"/>
        <v/>
      </c>
      <c r="P385" s="2" t="str">
        <f t="shared" si="57"/>
        <v/>
      </c>
      <c r="Q385" s="2" t="str">
        <f t="shared" si="58"/>
        <v/>
      </c>
      <c r="R385" s="2" t="str">
        <f t="shared" si="59"/>
        <v/>
      </c>
      <c r="S385" s="2" t="str">
        <f t="shared" si="60"/>
        <v/>
      </c>
      <c r="T385" s="2" t="str">
        <f t="shared" si="61"/>
        <v/>
      </c>
      <c r="U385" s="2" t="str">
        <f t="shared" si="62"/>
        <v/>
      </c>
      <c r="V385" s="2" t="b">
        <f t="shared" si="63"/>
        <v>0</v>
      </c>
      <c r="AA385" s="2" t="str">
        <f t="shared" si="64"/>
        <v/>
      </c>
      <c r="AB385" s="2" t="b">
        <f t="shared" si="65"/>
        <v>0</v>
      </c>
    </row>
    <row r="386" spans="1:28" x14ac:dyDescent="0.3">
      <c r="A386" s="2">
        <v>385</v>
      </c>
      <c r="B386" s="4"/>
      <c r="C386" s="4" t="s">
        <v>41</v>
      </c>
      <c r="D386" s="3"/>
      <c r="E386" s="3"/>
      <c r="F386" s="3"/>
      <c r="G386" s="3"/>
      <c r="H386" s="4"/>
      <c r="I386" s="4"/>
      <c r="J386" s="4"/>
      <c r="K386" s="4"/>
      <c r="L386" s="4"/>
      <c r="M386" s="4"/>
      <c r="N386" s="2" t="str">
        <f t="shared" ref="N386:N449" si="66">IF(OR(H386="",I386="",J386="",K386=""),"",(IF(H386&gt;I386,1,0)+IF(J386&gt;K386,1,0)+IF(AND(L386&lt;&gt;"",M386&lt;&gt;""),IF(L386&gt;M386,1,0),0)))</f>
        <v/>
      </c>
      <c r="O386" s="2" t="str">
        <f t="shared" ref="O386:O449" si="67">IF(N386="","",(IF(H386&lt;I386,1,0)+IF(J386&lt;K386,1,0)+IF(AND(L386&lt;&gt;"",M386&lt;&gt;""),IF(L386&lt;M386,1,0),0)))</f>
        <v/>
      </c>
      <c r="P386" s="2" t="str">
        <f t="shared" ref="P386:P449" si="68">IF(N386="","",IF(N386&gt;O386,"A","B"))</f>
        <v/>
      </c>
      <c r="Q386" s="2" t="str">
        <f t="shared" ref="Q386:Q449" si="69">IF(N386="","",H386+J386+IF(L386="",0,L386))</f>
        <v/>
      </c>
      <c r="R386" s="2" t="str">
        <f t="shared" ref="R386:R449" si="70">IF(N386="","",I386+K386+IF(M386="",0,M386))</f>
        <v/>
      </c>
      <c r="S386" s="2" t="str">
        <f t="shared" ref="S386:S449" si="71">IF(N386="","",Q386-R386)</f>
        <v/>
      </c>
      <c r="T386" s="2" t="str">
        <f t="shared" ref="T386:T449" si="72">IF(OR(C386&lt;&gt;$X$2,P386=""),"",MIN(MAX(0,S386)*$X$5,$X$6))</f>
        <v/>
      </c>
      <c r="U386" s="2" t="str">
        <f t="shared" ref="U386:U449" si="73">IF(OR(C386&lt;&gt;$X$2,P386=""),"",MIN(MAX(0,-S386)*$X$5,$X$6))</f>
        <v/>
      </c>
      <c r="V386" s="2" t="b">
        <f t="shared" ref="V386:V449" si="74">IF($Z$2="","",OR($D386=$Z$2,$E386=$Z$2,$F386=$Z$2,$G386=$Z$2))</f>
        <v>0</v>
      </c>
      <c r="AA386" s="2" t="str">
        <f t="shared" ref="AA386:AA449" si="75">IF($B386="","",YEAR($B386))</f>
        <v/>
      </c>
      <c r="AB386" s="2" t="b">
        <f t="shared" ref="AB386:AB449" si="76">IF($Z$5="Todas",TRUE,$AA386=$Z$5)</f>
        <v>0</v>
      </c>
    </row>
    <row r="387" spans="1:28" x14ac:dyDescent="0.3">
      <c r="A387" s="2">
        <v>386</v>
      </c>
      <c r="B387" s="4"/>
      <c r="C387" s="4" t="s">
        <v>41</v>
      </c>
      <c r="D387" s="3"/>
      <c r="E387" s="3"/>
      <c r="F387" s="3"/>
      <c r="G387" s="3"/>
      <c r="H387" s="4"/>
      <c r="I387" s="4"/>
      <c r="J387" s="4"/>
      <c r="K387" s="4"/>
      <c r="L387" s="4"/>
      <c r="M387" s="4"/>
      <c r="N387" s="2" t="str">
        <f t="shared" si="66"/>
        <v/>
      </c>
      <c r="O387" s="2" t="str">
        <f t="shared" si="67"/>
        <v/>
      </c>
      <c r="P387" s="2" t="str">
        <f t="shared" si="68"/>
        <v/>
      </c>
      <c r="Q387" s="2" t="str">
        <f t="shared" si="69"/>
        <v/>
      </c>
      <c r="R387" s="2" t="str">
        <f t="shared" si="70"/>
        <v/>
      </c>
      <c r="S387" s="2" t="str">
        <f t="shared" si="71"/>
        <v/>
      </c>
      <c r="T387" s="2" t="str">
        <f t="shared" si="72"/>
        <v/>
      </c>
      <c r="U387" s="2" t="str">
        <f t="shared" si="73"/>
        <v/>
      </c>
      <c r="V387" s="2" t="b">
        <f t="shared" si="74"/>
        <v>0</v>
      </c>
      <c r="AA387" s="2" t="str">
        <f t="shared" si="75"/>
        <v/>
      </c>
      <c r="AB387" s="2" t="b">
        <f t="shared" si="76"/>
        <v>0</v>
      </c>
    </row>
    <row r="388" spans="1:28" x14ac:dyDescent="0.3">
      <c r="A388" s="2">
        <v>387</v>
      </c>
      <c r="B388" s="4"/>
      <c r="C388" s="4" t="s">
        <v>41</v>
      </c>
      <c r="D388" s="3"/>
      <c r="E388" s="3"/>
      <c r="F388" s="3"/>
      <c r="G388" s="3"/>
      <c r="H388" s="4"/>
      <c r="I388" s="4"/>
      <c r="J388" s="4"/>
      <c r="K388" s="4"/>
      <c r="L388" s="4"/>
      <c r="M388" s="4"/>
      <c r="N388" s="2" t="str">
        <f t="shared" si="66"/>
        <v/>
      </c>
      <c r="O388" s="2" t="str">
        <f t="shared" si="67"/>
        <v/>
      </c>
      <c r="P388" s="2" t="str">
        <f t="shared" si="68"/>
        <v/>
      </c>
      <c r="Q388" s="2" t="str">
        <f t="shared" si="69"/>
        <v/>
      </c>
      <c r="R388" s="2" t="str">
        <f t="shared" si="70"/>
        <v/>
      </c>
      <c r="S388" s="2" t="str">
        <f t="shared" si="71"/>
        <v/>
      </c>
      <c r="T388" s="2" t="str">
        <f t="shared" si="72"/>
        <v/>
      </c>
      <c r="U388" s="2" t="str">
        <f t="shared" si="73"/>
        <v/>
      </c>
      <c r="V388" s="2" t="b">
        <f t="shared" si="74"/>
        <v>0</v>
      </c>
      <c r="AA388" s="2" t="str">
        <f t="shared" si="75"/>
        <v/>
      </c>
      <c r="AB388" s="2" t="b">
        <f t="shared" si="76"/>
        <v>0</v>
      </c>
    </row>
    <row r="389" spans="1:28" x14ac:dyDescent="0.3">
      <c r="A389" s="2">
        <v>388</v>
      </c>
      <c r="B389" s="4"/>
      <c r="C389" s="4" t="s">
        <v>41</v>
      </c>
      <c r="D389" s="3"/>
      <c r="E389" s="3"/>
      <c r="F389" s="3"/>
      <c r="G389" s="3"/>
      <c r="H389" s="4"/>
      <c r="I389" s="4"/>
      <c r="J389" s="4"/>
      <c r="K389" s="4"/>
      <c r="L389" s="4"/>
      <c r="M389" s="4"/>
      <c r="N389" s="2" t="str">
        <f t="shared" si="66"/>
        <v/>
      </c>
      <c r="O389" s="2" t="str">
        <f t="shared" si="67"/>
        <v/>
      </c>
      <c r="P389" s="2" t="str">
        <f t="shared" si="68"/>
        <v/>
      </c>
      <c r="Q389" s="2" t="str">
        <f t="shared" si="69"/>
        <v/>
      </c>
      <c r="R389" s="2" t="str">
        <f t="shared" si="70"/>
        <v/>
      </c>
      <c r="S389" s="2" t="str">
        <f t="shared" si="71"/>
        <v/>
      </c>
      <c r="T389" s="2" t="str">
        <f t="shared" si="72"/>
        <v/>
      </c>
      <c r="U389" s="2" t="str">
        <f t="shared" si="73"/>
        <v/>
      </c>
      <c r="V389" s="2" t="b">
        <f t="shared" si="74"/>
        <v>0</v>
      </c>
      <c r="AA389" s="2" t="str">
        <f t="shared" si="75"/>
        <v/>
      </c>
      <c r="AB389" s="2" t="b">
        <f t="shared" si="76"/>
        <v>0</v>
      </c>
    </row>
    <row r="390" spans="1:28" x14ac:dyDescent="0.3">
      <c r="A390" s="2">
        <v>389</v>
      </c>
      <c r="B390" s="4"/>
      <c r="C390" s="4" t="s">
        <v>41</v>
      </c>
      <c r="D390" s="3"/>
      <c r="E390" s="3"/>
      <c r="F390" s="3"/>
      <c r="G390" s="3"/>
      <c r="H390" s="4"/>
      <c r="I390" s="4"/>
      <c r="J390" s="4"/>
      <c r="K390" s="4"/>
      <c r="L390" s="4"/>
      <c r="M390" s="4"/>
      <c r="N390" s="2" t="str">
        <f t="shared" si="66"/>
        <v/>
      </c>
      <c r="O390" s="2" t="str">
        <f t="shared" si="67"/>
        <v/>
      </c>
      <c r="P390" s="2" t="str">
        <f t="shared" si="68"/>
        <v/>
      </c>
      <c r="Q390" s="2" t="str">
        <f t="shared" si="69"/>
        <v/>
      </c>
      <c r="R390" s="2" t="str">
        <f t="shared" si="70"/>
        <v/>
      </c>
      <c r="S390" s="2" t="str">
        <f t="shared" si="71"/>
        <v/>
      </c>
      <c r="T390" s="2" t="str">
        <f t="shared" si="72"/>
        <v/>
      </c>
      <c r="U390" s="2" t="str">
        <f t="shared" si="73"/>
        <v/>
      </c>
      <c r="V390" s="2" t="b">
        <f t="shared" si="74"/>
        <v>0</v>
      </c>
      <c r="AA390" s="2" t="str">
        <f t="shared" si="75"/>
        <v/>
      </c>
      <c r="AB390" s="2" t="b">
        <f t="shared" si="76"/>
        <v>0</v>
      </c>
    </row>
    <row r="391" spans="1:28" x14ac:dyDescent="0.3">
      <c r="A391" s="2">
        <v>390</v>
      </c>
      <c r="B391" s="4"/>
      <c r="C391" s="4" t="s">
        <v>41</v>
      </c>
      <c r="D391" s="3"/>
      <c r="E391" s="3"/>
      <c r="F391" s="3"/>
      <c r="G391" s="3"/>
      <c r="H391" s="4"/>
      <c r="I391" s="4"/>
      <c r="J391" s="4"/>
      <c r="K391" s="4"/>
      <c r="L391" s="4"/>
      <c r="M391" s="4"/>
      <c r="N391" s="2" t="str">
        <f t="shared" si="66"/>
        <v/>
      </c>
      <c r="O391" s="2" t="str">
        <f t="shared" si="67"/>
        <v/>
      </c>
      <c r="P391" s="2" t="str">
        <f t="shared" si="68"/>
        <v/>
      </c>
      <c r="Q391" s="2" t="str">
        <f t="shared" si="69"/>
        <v/>
      </c>
      <c r="R391" s="2" t="str">
        <f t="shared" si="70"/>
        <v/>
      </c>
      <c r="S391" s="2" t="str">
        <f t="shared" si="71"/>
        <v/>
      </c>
      <c r="T391" s="2" t="str">
        <f t="shared" si="72"/>
        <v/>
      </c>
      <c r="U391" s="2" t="str">
        <f t="shared" si="73"/>
        <v/>
      </c>
      <c r="V391" s="2" t="b">
        <f t="shared" si="74"/>
        <v>0</v>
      </c>
      <c r="AA391" s="2" t="str">
        <f t="shared" si="75"/>
        <v/>
      </c>
      <c r="AB391" s="2" t="b">
        <f t="shared" si="76"/>
        <v>0</v>
      </c>
    </row>
    <row r="392" spans="1:28" x14ac:dyDescent="0.3">
      <c r="A392" s="2">
        <v>391</v>
      </c>
      <c r="B392" s="4"/>
      <c r="C392" s="4" t="s">
        <v>41</v>
      </c>
      <c r="D392" s="3"/>
      <c r="E392" s="3"/>
      <c r="F392" s="3"/>
      <c r="G392" s="3"/>
      <c r="H392" s="4"/>
      <c r="I392" s="4"/>
      <c r="J392" s="4"/>
      <c r="K392" s="4"/>
      <c r="L392" s="4"/>
      <c r="M392" s="4"/>
      <c r="N392" s="2" t="str">
        <f t="shared" si="66"/>
        <v/>
      </c>
      <c r="O392" s="2" t="str">
        <f t="shared" si="67"/>
        <v/>
      </c>
      <c r="P392" s="2" t="str">
        <f t="shared" si="68"/>
        <v/>
      </c>
      <c r="Q392" s="2" t="str">
        <f t="shared" si="69"/>
        <v/>
      </c>
      <c r="R392" s="2" t="str">
        <f t="shared" si="70"/>
        <v/>
      </c>
      <c r="S392" s="2" t="str">
        <f t="shared" si="71"/>
        <v/>
      </c>
      <c r="T392" s="2" t="str">
        <f t="shared" si="72"/>
        <v/>
      </c>
      <c r="U392" s="2" t="str">
        <f t="shared" si="73"/>
        <v/>
      </c>
      <c r="V392" s="2" t="b">
        <f t="shared" si="74"/>
        <v>0</v>
      </c>
      <c r="AA392" s="2" t="str">
        <f t="shared" si="75"/>
        <v/>
      </c>
      <c r="AB392" s="2" t="b">
        <f t="shared" si="76"/>
        <v>0</v>
      </c>
    </row>
    <row r="393" spans="1:28" x14ac:dyDescent="0.3">
      <c r="A393" s="2">
        <v>392</v>
      </c>
      <c r="B393" s="4"/>
      <c r="C393" s="4" t="s">
        <v>41</v>
      </c>
      <c r="D393" s="3"/>
      <c r="E393" s="3"/>
      <c r="F393" s="3"/>
      <c r="G393" s="3"/>
      <c r="H393" s="4"/>
      <c r="I393" s="4"/>
      <c r="J393" s="4"/>
      <c r="K393" s="4"/>
      <c r="L393" s="4"/>
      <c r="M393" s="4"/>
      <c r="N393" s="2" t="str">
        <f t="shared" si="66"/>
        <v/>
      </c>
      <c r="O393" s="2" t="str">
        <f t="shared" si="67"/>
        <v/>
      </c>
      <c r="P393" s="2" t="str">
        <f t="shared" si="68"/>
        <v/>
      </c>
      <c r="Q393" s="2" t="str">
        <f t="shared" si="69"/>
        <v/>
      </c>
      <c r="R393" s="2" t="str">
        <f t="shared" si="70"/>
        <v/>
      </c>
      <c r="S393" s="2" t="str">
        <f t="shared" si="71"/>
        <v/>
      </c>
      <c r="T393" s="2" t="str">
        <f t="shared" si="72"/>
        <v/>
      </c>
      <c r="U393" s="2" t="str">
        <f t="shared" si="73"/>
        <v/>
      </c>
      <c r="V393" s="2" t="b">
        <f t="shared" si="74"/>
        <v>0</v>
      </c>
      <c r="AA393" s="2" t="str">
        <f t="shared" si="75"/>
        <v/>
      </c>
      <c r="AB393" s="2" t="b">
        <f t="shared" si="76"/>
        <v>0</v>
      </c>
    </row>
    <row r="394" spans="1:28" x14ac:dyDescent="0.3">
      <c r="A394" s="2">
        <v>393</v>
      </c>
      <c r="B394" s="4"/>
      <c r="C394" s="4" t="s">
        <v>41</v>
      </c>
      <c r="D394" s="3"/>
      <c r="E394" s="3"/>
      <c r="F394" s="3"/>
      <c r="G394" s="3"/>
      <c r="H394" s="4"/>
      <c r="I394" s="4"/>
      <c r="J394" s="4"/>
      <c r="K394" s="4"/>
      <c r="L394" s="4"/>
      <c r="M394" s="4"/>
      <c r="N394" s="2" t="str">
        <f t="shared" si="66"/>
        <v/>
      </c>
      <c r="O394" s="2" t="str">
        <f t="shared" si="67"/>
        <v/>
      </c>
      <c r="P394" s="2" t="str">
        <f t="shared" si="68"/>
        <v/>
      </c>
      <c r="Q394" s="2" t="str">
        <f t="shared" si="69"/>
        <v/>
      </c>
      <c r="R394" s="2" t="str">
        <f t="shared" si="70"/>
        <v/>
      </c>
      <c r="S394" s="2" t="str">
        <f t="shared" si="71"/>
        <v/>
      </c>
      <c r="T394" s="2" t="str">
        <f t="shared" si="72"/>
        <v/>
      </c>
      <c r="U394" s="2" t="str">
        <f t="shared" si="73"/>
        <v/>
      </c>
      <c r="V394" s="2" t="b">
        <f t="shared" si="74"/>
        <v>0</v>
      </c>
      <c r="AA394" s="2" t="str">
        <f t="shared" si="75"/>
        <v/>
      </c>
      <c r="AB394" s="2" t="b">
        <f t="shared" si="76"/>
        <v>0</v>
      </c>
    </row>
    <row r="395" spans="1:28" x14ac:dyDescent="0.3">
      <c r="A395" s="2">
        <v>394</v>
      </c>
      <c r="B395" s="4"/>
      <c r="C395" s="4" t="s">
        <v>41</v>
      </c>
      <c r="D395" s="3"/>
      <c r="E395" s="3"/>
      <c r="F395" s="3"/>
      <c r="G395" s="3"/>
      <c r="H395" s="4"/>
      <c r="I395" s="4"/>
      <c r="J395" s="4"/>
      <c r="K395" s="4"/>
      <c r="L395" s="4"/>
      <c r="M395" s="4"/>
      <c r="N395" s="2" t="str">
        <f t="shared" si="66"/>
        <v/>
      </c>
      <c r="O395" s="2" t="str">
        <f t="shared" si="67"/>
        <v/>
      </c>
      <c r="P395" s="2" t="str">
        <f t="shared" si="68"/>
        <v/>
      </c>
      <c r="Q395" s="2" t="str">
        <f t="shared" si="69"/>
        <v/>
      </c>
      <c r="R395" s="2" t="str">
        <f t="shared" si="70"/>
        <v/>
      </c>
      <c r="S395" s="2" t="str">
        <f t="shared" si="71"/>
        <v/>
      </c>
      <c r="T395" s="2" t="str">
        <f t="shared" si="72"/>
        <v/>
      </c>
      <c r="U395" s="2" t="str">
        <f t="shared" si="73"/>
        <v/>
      </c>
      <c r="V395" s="2" t="b">
        <f t="shared" si="74"/>
        <v>0</v>
      </c>
      <c r="AA395" s="2" t="str">
        <f t="shared" si="75"/>
        <v/>
      </c>
      <c r="AB395" s="2" t="b">
        <f t="shared" si="76"/>
        <v>0</v>
      </c>
    </row>
    <row r="396" spans="1:28" x14ac:dyDescent="0.3">
      <c r="A396" s="2">
        <v>395</v>
      </c>
      <c r="B396" s="4"/>
      <c r="C396" s="4" t="s">
        <v>41</v>
      </c>
      <c r="D396" s="3"/>
      <c r="E396" s="3"/>
      <c r="F396" s="3"/>
      <c r="G396" s="3"/>
      <c r="H396" s="4"/>
      <c r="I396" s="4"/>
      <c r="J396" s="4"/>
      <c r="K396" s="4"/>
      <c r="L396" s="4"/>
      <c r="M396" s="4"/>
      <c r="N396" s="2" t="str">
        <f t="shared" si="66"/>
        <v/>
      </c>
      <c r="O396" s="2" t="str">
        <f t="shared" si="67"/>
        <v/>
      </c>
      <c r="P396" s="2" t="str">
        <f t="shared" si="68"/>
        <v/>
      </c>
      <c r="Q396" s="2" t="str">
        <f t="shared" si="69"/>
        <v/>
      </c>
      <c r="R396" s="2" t="str">
        <f t="shared" si="70"/>
        <v/>
      </c>
      <c r="S396" s="2" t="str">
        <f t="shared" si="71"/>
        <v/>
      </c>
      <c r="T396" s="2" t="str">
        <f t="shared" si="72"/>
        <v/>
      </c>
      <c r="U396" s="2" t="str">
        <f t="shared" si="73"/>
        <v/>
      </c>
      <c r="V396" s="2" t="b">
        <f t="shared" si="74"/>
        <v>0</v>
      </c>
      <c r="AA396" s="2" t="str">
        <f t="shared" si="75"/>
        <v/>
      </c>
      <c r="AB396" s="2" t="b">
        <f t="shared" si="76"/>
        <v>0</v>
      </c>
    </row>
    <row r="397" spans="1:28" x14ac:dyDescent="0.3">
      <c r="A397" s="2">
        <v>396</v>
      </c>
      <c r="B397" s="4"/>
      <c r="C397" s="4" t="s">
        <v>41</v>
      </c>
      <c r="D397" s="3"/>
      <c r="E397" s="3"/>
      <c r="F397" s="3"/>
      <c r="G397" s="3"/>
      <c r="H397" s="4"/>
      <c r="I397" s="4"/>
      <c r="J397" s="4"/>
      <c r="K397" s="4"/>
      <c r="L397" s="4"/>
      <c r="M397" s="4"/>
      <c r="N397" s="2" t="str">
        <f t="shared" si="66"/>
        <v/>
      </c>
      <c r="O397" s="2" t="str">
        <f t="shared" si="67"/>
        <v/>
      </c>
      <c r="P397" s="2" t="str">
        <f t="shared" si="68"/>
        <v/>
      </c>
      <c r="Q397" s="2" t="str">
        <f t="shared" si="69"/>
        <v/>
      </c>
      <c r="R397" s="2" t="str">
        <f t="shared" si="70"/>
        <v/>
      </c>
      <c r="S397" s="2" t="str">
        <f t="shared" si="71"/>
        <v/>
      </c>
      <c r="T397" s="2" t="str">
        <f t="shared" si="72"/>
        <v/>
      </c>
      <c r="U397" s="2" t="str">
        <f t="shared" si="73"/>
        <v/>
      </c>
      <c r="V397" s="2" t="b">
        <f t="shared" si="74"/>
        <v>0</v>
      </c>
      <c r="AA397" s="2" t="str">
        <f t="shared" si="75"/>
        <v/>
      </c>
      <c r="AB397" s="2" t="b">
        <f t="shared" si="76"/>
        <v>0</v>
      </c>
    </row>
    <row r="398" spans="1:28" x14ac:dyDescent="0.3">
      <c r="A398" s="2">
        <v>397</v>
      </c>
      <c r="B398" s="4"/>
      <c r="C398" s="4" t="s">
        <v>41</v>
      </c>
      <c r="D398" s="3"/>
      <c r="E398" s="3"/>
      <c r="F398" s="3"/>
      <c r="G398" s="3"/>
      <c r="H398" s="4"/>
      <c r="I398" s="4"/>
      <c r="J398" s="4"/>
      <c r="K398" s="4"/>
      <c r="L398" s="4"/>
      <c r="M398" s="4"/>
      <c r="N398" s="2" t="str">
        <f t="shared" si="66"/>
        <v/>
      </c>
      <c r="O398" s="2" t="str">
        <f t="shared" si="67"/>
        <v/>
      </c>
      <c r="P398" s="2" t="str">
        <f t="shared" si="68"/>
        <v/>
      </c>
      <c r="Q398" s="2" t="str">
        <f t="shared" si="69"/>
        <v/>
      </c>
      <c r="R398" s="2" t="str">
        <f t="shared" si="70"/>
        <v/>
      </c>
      <c r="S398" s="2" t="str">
        <f t="shared" si="71"/>
        <v/>
      </c>
      <c r="T398" s="2" t="str">
        <f t="shared" si="72"/>
        <v/>
      </c>
      <c r="U398" s="2" t="str">
        <f t="shared" si="73"/>
        <v/>
      </c>
      <c r="V398" s="2" t="b">
        <f t="shared" si="74"/>
        <v>0</v>
      </c>
      <c r="AA398" s="2" t="str">
        <f t="shared" si="75"/>
        <v/>
      </c>
      <c r="AB398" s="2" t="b">
        <f t="shared" si="76"/>
        <v>0</v>
      </c>
    </row>
    <row r="399" spans="1:28" x14ac:dyDescent="0.3">
      <c r="A399" s="2">
        <v>398</v>
      </c>
      <c r="B399" s="4"/>
      <c r="C399" s="4" t="s">
        <v>41</v>
      </c>
      <c r="D399" s="3"/>
      <c r="E399" s="3"/>
      <c r="F399" s="3"/>
      <c r="G399" s="3"/>
      <c r="H399" s="4"/>
      <c r="I399" s="4"/>
      <c r="J399" s="4"/>
      <c r="K399" s="4"/>
      <c r="L399" s="4"/>
      <c r="M399" s="4"/>
      <c r="N399" s="2" t="str">
        <f t="shared" si="66"/>
        <v/>
      </c>
      <c r="O399" s="2" t="str">
        <f t="shared" si="67"/>
        <v/>
      </c>
      <c r="P399" s="2" t="str">
        <f t="shared" si="68"/>
        <v/>
      </c>
      <c r="Q399" s="2" t="str">
        <f t="shared" si="69"/>
        <v/>
      </c>
      <c r="R399" s="2" t="str">
        <f t="shared" si="70"/>
        <v/>
      </c>
      <c r="S399" s="2" t="str">
        <f t="shared" si="71"/>
        <v/>
      </c>
      <c r="T399" s="2" t="str">
        <f t="shared" si="72"/>
        <v/>
      </c>
      <c r="U399" s="2" t="str">
        <f t="shared" si="73"/>
        <v/>
      </c>
      <c r="V399" s="2" t="b">
        <f t="shared" si="74"/>
        <v>0</v>
      </c>
      <c r="AA399" s="2" t="str">
        <f t="shared" si="75"/>
        <v/>
      </c>
      <c r="AB399" s="2" t="b">
        <f t="shared" si="76"/>
        <v>0</v>
      </c>
    </row>
    <row r="400" spans="1:28" x14ac:dyDescent="0.3">
      <c r="A400" s="2">
        <v>399</v>
      </c>
      <c r="B400" s="4"/>
      <c r="C400" s="4" t="s">
        <v>41</v>
      </c>
      <c r="D400" s="3"/>
      <c r="E400" s="3"/>
      <c r="F400" s="3"/>
      <c r="G400" s="3"/>
      <c r="H400" s="4"/>
      <c r="I400" s="4"/>
      <c r="J400" s="4"/>
      <c r="K400" s="4"/>
      <c r="L400" s="4"/>
      <c r="M400" s="4"/>
      <c r="N400" s="2" t="str">
        <f t="shared" si="66"/>
        <v/>
      </c>
      <c r="O400" s="2" t="str">
        <f t="shared" si="67"/>
        <v/>
      </c>
      <c r="P400" s="2" t="str">
        <f t="shared" si="68"/>
        <v/>
      </c>
      <c r="Q400" s="2" t="str">
        <f t="shared" si="69"/>
        <v/>
      </c>
      <c r="R400" s="2" t="str">
        <f t="shared" si="70"/>
        <v/>
      </c>
      <c r="S400" s="2" t="str">
        <f t="shared" si="71"/>
        <v/>
      </c>
      <c r="T400" s="2" t="str">
        <f t="shared" si="72"/>
        <v/>
      </c>
      <c r="U400" s="2" t="str">
        <f t="shared" si="73"/>
        <v/>
      </c>
      <c r="V400" s="2" t="b">
        <f t="shared" si="74"/>
        <v>0</v>
      </c>
      <c r="AA400" s="2" t="str">
        <f t="shared" si="75"/>
        <v/>
      </c>
      <c r="AB400" s="2" t="b">
        <f t="shared" si="76"/>
        <v>0</v>
      </c>
    </row>
    <row r="401" spans="1:28" x14ac:dyDescent="0.3">
      <c r="A401" s="2">
        <v>400</v>
      </c>
      <c r="B401" s="4"/>
      <c r="C401" s="4" t="s">
        <v>41</v>
      </c>
      <c r="D401" s="3"/>
      <c r="E401" s="3"/>
      <c r="F401" s="3"/>
      <c r="G401" s="3"/>
      <c r="H401" s="4"/>
      <c r="I401" s="4"/>
      <c r="J401" s="4"/>
      <c r="K401" s="4"/>
      <c r="L401" s="4"/>
      <c r="M401" s="4"/>
      <c r="N401" s="2" t="str">
        <f t="shared" si="66"/>
        <v/>
      </c>
      <c r="O401" s="2" t="str">
        <f t="shared" si="67"/>
        <v/>
      </c>
      <c r="P401" s="2" t="str">
        <f t="shared" si="68"/>
        <v/>
      </c>
      <c r="Q401" s="2" t="str">
        <f t="shared" si="69"/>
        <v/>
      </c>
      <c r="R401" s="2" t="str">
        <f t="shared" si="70"/>
        <v/>
      </c>
      <c r="S401" s="2" t="str">
        <f t="shared" si="71"/>
        <v/>
      </c>
      <c r="T401" s="2" t="str">
        <f t="shared" si="72"/>
        <v/>
      </c>
      <c r="U401" s="2" t="str">
        <f t="shared" si="73"/>
        <v/>
      </c>
      <c r="V401" s="2" t="b">
        <f t="shared" si="74"/>
        <v>0</v>
      </c>
      <c r="AA401" s="2" t="str">
        <f t="shared" si="75"/>
        <v/>
      </c>
      <c r="AB401" s="2" t="b">
        <f t="shared" si="76"/>
        <v>0</v>
      </c>
    </row>
    <row r="402" spans="1:28" x14ac:dyDescent="0.3">
      <c r="A402" s="2">
        <v>401</v>
      </c>
      <c r="B402" s="4"/>
      <c r="C402" s="4" t="s">
        <v>41</v>
      </c>
      <c r="D402" s="3"/>
      <c r="E402" s="3"/>
      <c r="F402" s="3"/>
      <c r="G402" s="3"/>
      <c r="H402" s="4"/>
      <c r="I402" s="4"/>
      <c r="J402" s="4"/>
      <c r="K402" s="4"/>
      <c r="L402" s="4"/>
      <c r="M402" s="4"/>
      <c r="N402" s="2" t="str">
        <f t="shared" si="66"/>
        <v/>
      </c>
      <c r="O402" s="2" t="str">
        <f t="shared" si="67"/>
        <v/>
      </c>
      <c r="P402" s="2" t="str">
        <f t="shared" si="68"/>
        <v/>
      </c>
      <c r="Q402" s="2" t="str">
        <f t="shared" si="69"/>
        <v/>
      </c>
      <c r="R402" s="2" t="str">
        <f t="shared" si="70"/>
        <v/>
      </c>
      <c r="S402" s="2" t="str">
        <f t="shared" si="71"/>
        <v/>
      </c>
      <c r="T402" s="2" t="str">
        <f t="shared" si="72"/>
        <v/>
      </c>
      <c r="U402" s="2" t="str">
        <f t="shared" si="73"/>
        <v/>
      </c>
      <c r="V402" s="2" t="b">
        <f t="shared" si="74"/>
        <v>0</v>
      </c>
      <c r="AA402" s="2" t="str">
        <f t="shared" si="75"/>
        <v/>
      </c>
      <c r="AB402" s="2" t="b">
        <f t="shared" si="76"/>
        <v>0</v>
      </c>
    </row>
    <row r="403" spans="1:28" x14ac:dyDescent="0.3">
      <c r="A403" s="2">
        <v>402</v>
      </c>
      <c r="B403" s="4"/>
      <c r="C403" s="4" t="s">
        <v>41</v>
      </c>
      <c r="D403" s="3"/>
      <c r="E403" s="3"/>
      <c r="F403" s="3"/>
      <c r="G403" s="3"/>
      <c r="H403" s="4"/>
      <c r="I403" s="4"/>
      <c r="J403" s="4"/>
      <c r="K403" s="4"/>
      <c r="L403" s="4"/>
      <c r="M403" s="4"/>
      <c r="N403" s="2" t="str">
        <f t="shared" si="66"/>
        <v/>
      </c>
      <c r="O403" s="2" t="str">
        <f t="shared" si="67"/>
        <v/>
      </c>
      <c r="P403" s="2" t="str">
        <f t="shared" si="68"/>
        <v/>
      </c>
      <c r="Q403" s="2" t="str">
        <f t="shared" si="69"/>
        <v/>
      </c>
      <c r="R403" s="2" t="str">
        <f t="shared" si="70"/>
        <v/>
      </c>
      <c r="S403" s="2" t="str">
        <f t="shared" si="71"/>
        <v/>
      </c>
      <c r="T403" s="2" t="str">
        <f t="shared" si="72"/>
        <v/>
      </c>
      <c r="U403" s="2" t="str">
        <f t="shared" si="73"/>
        <v/>
      </c>
      <c r="V403" s="2" t="b">
        <f t="shared" si="74"/>
        <v>0</v>
      </c>
      <c r="AA403" s="2" t="str">
        <f t="shared" si="75"/>
        <v/>
      </c>
      <c r="AB403" s="2" t="b">
        <f t="shared" si="76"/>
        <v>0</v>
      </c>
    </row>
    <row r="404" spans="1:28" x14ac:dyDescent="0.3">
      <c r="A404" s="2">
        <v>403</v>
      </c>
      <c r="B404" s="4"/>
      <c r="C404" s="4" t="s">
        <v>41</v>
      </c>
      <c r="D404" s="3"/>
      <c r="E404" s="3"/>
      <c r="F404" s="3"/>
      <c r="G404" s="3"/>
      <c r="H404" s="4"/>
      <c r="I404" s="4"/>
      <c r="J404" s="4"/>
      <c r="K404" s="4"/>
      <c r="L404" s="4"/>
      <c r="M404" s="4"/>
      <c r="N404" s="2" t="str">
        <f t="shared" si="66"/>
        <v/>
      </c>
      <c r="O404" s="2" t="str">
        <f t="shared" si="67"/>
        <v/>
      </c>
      <c r="P404" s="2" t="str">
        <f t="shared" si="68"/>
        <v/>
      </c>
      <c r="Q404" s="2" t="str">
        <f t="shared" si="69"/>
        <v/>
      </c>
      <c r="R404" s="2" t="str">
        <f t="shared" si="70"/>
        <v/>
      </c>
      <c r="S404" s="2" t="str">
        <f t="shared" si="71"/>
        <v/>
      </c>
      <c r="T404" s="2" t="str">
        <f t="shared" si="72"/>
        <v/>
      </c>
      <c r="U404" s="2" t="str">
        <f t="shared" si="73"/>
        <v/>
      </c>
      <c r="V404" s="2" t="b">
        <f t="shared" si="74"/>
        <v>0</v>
      </c>
      <c r="AA404" s="2" t="str">
        <f t="shared" si="75"/>
        <v/>
      </c>
      <c r="AB404" s="2" t="b">
        <f t="shared" si="76"/>
        <v>0</v>
      </c>
    </row>
    <row r="405" spans="1:28" x14ac:dyDescent="0.3">
      <c r="A405" s="2">
        <v>404</v>
      </c>
      <c r="B405" s="4"/>
      <c r="C405" s="4" t="s">
        <v>41</v>
      </c>
      <c r="D405" s="3"/>
      <c r="E405" s="3"/>
      <c r="F405" s="3"/>
      <c r="G405" s="3"/>
      <c r="H405" s="4"/>
      <c r="I405" s="4"/>
      <c r="J405" s="4"/>
      <c r="K405" s="4"/>
      <c r="L405" s="4"/>
      <c r="M405" s="4"/>
      <c r="N405" s="2" t="str">
        <f t="shared" si="66"/>
        <v/>
      </c>
      <c r="O405" s="2" t="str">
        <f t="shared" si="67"/>
        <v/>
      </c>
      <c r="P405" s="2" t="str">
        <f t="shared" si="68"/>
        <v/>
      </c>
      <c r="Q405" s="2" t="str">
        <f t="shared" si="69"/>
        <v/>
      </c>
      <c r="R405" s="2" t="str">
        <f t="shared" si="70"/>
        <v/>
      </c>
      <c r="S405" s="2" t="str">
        <f t="shared" si="71"/>
        <v/>
      </c>
      <c r="T405" s="2" t="str">
        <f t="shared" si="72"/>
        <v/>
      </c>
      <c r="U405" s="2" t="str">
        <f t="shared" si="73"/>
        <v/>
      </c>
      <c r="V405" s="2" t="b">
        <f t="shared" si="74"/>
        <v>0</v>
      </c>
      <c r="AA405" s="2" t="str">
        <f t="shared" si="75"/>
        <v/>
      </c>
      <c r="AB405" s="2" t="b">
        <f t="shared" si="76"/>
        <v>0</v>
      </c>
    </row>
    <row r="406" spans="1:28" x14ac:dyDescent="0.3">
      <c r="A406" s="2">
        <v>405</v>
      </c>
      <c r="B406" s="4"/>
      <c r="C406" s="4" t="s">
        <v>41</v>
      </c>
      <c r="D406" s="3"/>
      <c r="E406" s="3"/>
      <c r="F406" s="3"/>
      <c r="G406" s="3"/>
      <c r="H406" s="4"/>
      <c r="I406" s="4"/>
      <c r="J406" s="4"/>
      <c r="K406" s="4"/>
      <c r="L406" s="4"/>
      <c r="M406" s="4"/>
      <c r="N406" s="2" t="str">
        <f t="shared" si="66"/>
        <v/>
      </c>
      <c r="O406" s="2" t="str">
        <f t="shared" si="67"/>
        <v/>
      </c>
      <c r="P406" s="2" t="str">
        <f t="shared" si="68"/>
        <v/>
      </c>
      <c r="Q406" s="2" t="str">
        <f t="shared" si="69"/>
        <v/>
      </c>
      <c r="R406" s="2" t="str">
        <f t="shared" si="70"/>
        <v/>
      </c>
      <c r="S406" s="2" t="str">
        <f t="shared" si="71"/>
        <v/>
      </c>
      <c r="T406" s="2" t="str">
        <f t="shared" si="72"/>
        <v/>
      </c>
      <c r="U406" s="2" t="str">
        <f t="shared" si="73"/>
        <v/>
      </c>
      <c r="V406" s="2" t="b">
        <f t="shared" si="74"/>
        <v>0</v>
      </c>
      <c r="AA406" s="2" t="str">
        <f t="shared" si="75"/>
        <v/>
      </c>
      <c r="AB406" s="2" t="b">
        <f t="shared" si="76"/>
        <v>0</v>
      </c>
    </row>
    <row r="407" spans="1:28" x14ac:dyDescent="0.3">
      <c r="A407" s="2">
        <v>406</v>
      </c>
      <c r="B407" s="4"/>
      <c r="C407" s="4" t="s">
        <v>41</v>
      </c>
      <c r="D407" s="3"/>
      <c r="E407" s="3"/>
      <c r="F407" s="3"/>
      <c r="G407" s="3"/>
      <c r="H407" s="4"/>
      <c r="I407" s="4"/>
      <c r="J407" s="4"/>
      <c r="K407" s="4"/>
      <c r="L407" s="4"/>
      <c r="M407" s="4"/>
      <c r="N407" s="2" t="str">
        <f t="shared" si="66"/>
        <v/>
      </c>
      <c r="O407" s="2" t="str">
        <f t="shared" si="67"/>
        <v/>
      </c>
      <c r="P407" s="2" t="str">
        <f t="shared" si="68"/>
        <v/>
      </c>
      <c r="Q407" s="2" t="str">
        <f t="shared" si="69"/>
        <v/>
      </c>
      <c r="R407" s="2" t="str">
        <f t="shared" si="70"/>
        <v/>
      </c>
      <c r="S407" s="2" t="str">
        <f t="shared" si="71"/>
        <v/>
      </c>
      <c r="T407" s="2" t="str">
        <f t="shared" si="72"/>
        <v/>
      </c>
      <c r="U407" s="2" t="str">
        <f t="shared" si="73"/>
        <v/>
      </c>
      <c r="V407" s="2" t="b">
        <f t="shared" si="74"/>
        <v>0</v>
      </c>
      <c r="AA407" s="2" t="str">
        <f t="shared" si="75"/>
        <v/>
      </c>
      <c r="AB407" s="2" t="b">
        <f t="shared" si="76"/>
        <v>0</v>
      </c>
    </row>
    <row r="408" spans="1:28" x14ac:dyDescent="0.3">
      <c r="A408" s="2">
        <v>407</v>
      </c>
      <c r="B408" s="4"/>
      <c r="C408" s="4" t="s">
        <v>41</v>
      </c>
      <c r="D408" s="3"/>
      <c r="E408" s="3"/>
      <c r="F408" s="3"/>
      <c r="G408" s="3"/>
      <c r="H408" s="4"/>
      <c r="I408" s="4"/>
      <c r="J408" s="4"/>
      <c r="K408" s="4"/>
      <c r="L408" s="4"/>
      <c r="M408" s="4"/>
      <c r="N408" s="2" t="str">
        <f t="shared" si="66"/>
        <v/>
      </c>
      <c r="O408" s="2" t="str">
        <f t="shared" si="67"/>
        <v/>
      </c>
      <c r="P408" s="2" t="str">
        <f t="shared" si="68"/>
        <v/>
      </c>
      <c r="Q408" s="2" t="str">
        <f t="shared" si="69"/>
        <v/>
      </c>
      <c r="R408" s="2" t="str">
        <f t="shared" si="70"/>
        <v/>
      </c>
      <c r="S408" s="2" t="str">
        <f t="shared" si="71"/>
        <v/>
      </c>
      <c r="T408" s="2" t="str">
        <f t="shared" si="72"/>
        <v/>
      </c>
      <c r="U408" s="2" t="str">
        <f t="shared" si="73"/>
        <v/>
      </c>
      <c r="V408" s="2" t="b">
        <f t="shared" si="74"/>
        <v>0</v>
      </c>
      <c r="AA408" s="2" t="str">
        <f t="shared" si="75"/>
        <v/>
      </c>
      <c r="AB408" s="2" t="b">
        <f t="shared" si="76"/>
        <v>0</v>
      </c>
    </row>
    <row r="409" spans="1:28" x14ac:dyDescent="0.3">
      <c r="A409" s="2">
        <v>408</v>
      </c>
      <c r="B409" s="4"/>
      <c r="C409" s="4" t="s">
        <v>41</v>
      </c>
      <c r="D409" s="3"/>
      <c r="E409" s="3"/>
      <c r="F409" s="3"/>
      <c r="G409" s="3"/>
      <c r="H409" s="4"/>
      <c r="I409" s="4"/>
      <c r="J409" s="4"/>
      <c r="K409" s="4"/>
      <c r="L409" s="4"/>
      <c r="M409" s="4"/>
      <c r="N409" s="2" t="str">
        <f t="shared" si="66"/>
        <v/>
      </c>
      <c r="O409" s="2" t="str">
        <f t="shared" si="67"/>
        <v/>
      </c>
      <c r="P409" s="2" t="str">
        <f t="shared" si="68"/>
        <v/>
      </c>
      <c r="Q409" s="2" t="str">
        <f t="shared" si="69"/>
        <v/>
      </c>
      <c r="R409" s="2" t="str">
        <f t="shared" si="70"/>
        <v/>
      </c>
      <c r="S409" s="2" t="str">
        <f t="shared" si="71"/>
        <v/>
      </c>
      <c r="T409" s="2" t="str">
        <f t="shared" si="72"/>
        <v/>
      </c>
      <c r="U409" s="2" t="str">
        <f t="shared" si="73"/>
        <v/>
      </c>
      <c r="V409" s="2" t="b">
        <f t="shared" si="74"/>
        <v>0</v>
      </c>
      <c r="AA409" s="2" t="str">
        <f t="shared" si="75"/>
        <v/>
      </c>
      <c r="AB409" s="2" t="b">
        <f t="shared" si="76"/>
        <v>0</v>
      </c>
    </row>
    <row r="410" spans="1:28" x14ac:dyDescent="0.3">
      <c r="A410" s="2">
        <v>409</v>
      </c>
      <c r="B410" s="4"/>
      <c r="C410" s="4" t="s">
        <v>41</v>
      </c>
      <c r="D410" s="3"/>
      <c r="E410" s="3"/>
      <c r="F410" s="3"/>
      <c r="G410" s="3"/>
      <c r="H410" s="4"/>
      <c r="I410" s="4"/>
      <c r="J410" s="4"/>
      <c r="K410" s="4"/>
      <c r="L410" s="4"/>
      <c r="M410" s="4"/>
      <c r="N410" s="2" t="str">
        <f t="shared" si="66"/>
        <v/>
      </c>
      <c r="O410" s="2" t="str">
        <f t="shared" si="67"/>
        <v/>
      </c>
      <c r="P410" s="2" t="str">
        <f t="shared" si="68"/>
        <v/>
      </c>
      <c r="Q410" s="2" t="str">
        <f t="shared" si="69"/>
        <v/>
      </c>
      <c r="R410" s="2" t="str">
        <f t="shared" si="70"/>
        <v/>
      </c>
      <c r="S410" s="2" t="str">
        <f t="shared" si="71"/>
        <v/>
      </c>
      <c r="T410" s="2" t="str">
        <f t="shared" si="72"/>
        <v/>
      </c>
      <c r="U410" s="2" t="str">
        <f t="shared" si="73"/>
        <v/>
      </c>
      <c r="V410" s="2" t="b">
        <f t="shared" si="74"/>
        <v>0</v>
      </c>
      <c r="AA410" s="2" t="str">
        <f t="shared" si="75"/>
        <v/>
      </c>
      <c r="AB410" s="2" t="b">
        <f t="shared" si="76"/>
        <v>0</v>
      </c>
    </row>
    <row r="411" spans="1:28" x14ac:dyDescent="0.3">
      <c r="A411" s="2">
        <v>410</v>
      </c>
      <c r="B411" s="4"/>
      <c r="C411" s="4" t="s">
        <v>41</v>
      </c>
      <c r="D411" s="3"/>
      <c r="E411" s="3"/>
      <c r="F411" s="3"/>
      <c r="G411" s="3"/>
      <c r="H411" s="4"/>
      <c r="I411" s="4"/>
      <c r="J411" s="4"/>
      <c r="K411" s="4"/>
      <c r="L411" s="4"/>
      <c r="M411" s="4"/>
      <c r="N411" s="2" t="str">
        <f t="shared" si="66"/>
        <v/>
      </c>
      <c r="O411" s="2" t="str">
        <f t="shared" si="67"/>
        <v/>
      </c>
      <c r="P411" s="2" t="str">
        <f t="shared" si="68"/>
        <v/>
      </c>
      <c r="Q411" s="2" t="str">
        <f t="shared" si="69"/>
        <v/>
      </c>
      <c r="R411" s="2" t="str">
        <f t="shared" si="70"/>
        <v/>
      </c>
      <c r="S411" s="2" t="str">
        <f t="shared" si="71"/>
        <v/>
      </c>
      <c r="T411" s="2" t="str">
        <f t="shared" si="72"/>
        <v/>
      </c>
      <c r="U411" s="2" t="str">
        <f t="shared" si="73"/>
        <v/>
      </c>
      <c r="V411" s="2" t="b">
        <f t="shared" si="74"/>
        <v>0</v>
      </c>
      <c r="AA411" s="2" t="str">
        <f t="shared" si="75"/>
        <v/>
      </c>
      <c r="AB411" s="2" t="b">
        <f t="shared" si="76"/>
        <v>0</v>
      </c>
    </row>
    <row r="412" spans="1:28" x14ac:dyDescent="0.3">
      <c r="A412" s="2">
        <v>411</v>
      </c>
      <c r="B412" s="4"/>
      <c r="C412" s="4" t="s">
        <v>41</v>
      </c>
      <c r="D412" s="3"/>
      <c r="E412" s="3"/>
      <c r="F412" s="3"/>
      <c r="G412" s="3"/>
      <c r="H412" s="4"/>
      <c r="I412" s="4"/>
      <c r="J412" s="4"/>
      <c r="K412" s="4"/>
      <c r="L412" s="4"/>
      <c r="M412" s="4"/>
      <c r="N412" s="2" t="str">
        <f t="shared" si="66"/>
        <v/>
      </c>
      <c r="O412" s="2" t="str">
        <f t="shared" si="67"/>
        <v/>
      </c>
      <c r="P412" s="2" t="str">
        <f t="shared" si="68"/>
        <v/>
      </c>
      <c r="Q412" s="2" t="str">
        <f t="shared" si="69"/>
        <v/>
      </c>
      <c r="R412" s="2" t="str">
        <f t="shared" si="70"/>
        <v/>
      </c>
      <c r="S412" s="2" t="str">
        <f t="shared" si="71"/>
        <v/>
      </c>
      <c r="T412" s="2" t="str">
        <f t="shared" si="72"/>
        <v/>
      </c>
      <c r="U412" s="2" t="str">
        <f t="shared" si="73"/>
        <v/>
      </c>
      <c r="V412" s="2" t="b">
        <f t="shared" si="74"/>
        <v>0</v>
      </c>
      <c r="AA412" s="2" t="str">
        <f t="shared" si="75"/>
        <v/>
      </c>
      <c r="AB412" s="2" t="b">
        <f t="shared" si="76"/>
        <v>0</v>
      </c>
    </row>
    <row r="413" spans="1:28" x14ac:dyDescent="0.3">
      <c r="A413" s="2">
        <v>412</v>
      </c>
      <c r="B413" s="4"/>
      <c r="C413" s="4" t="s">
        <v>41</v>
      </c>
      <c r="D413" s="3"/>
      <c r="E413" s="3"/>
      <c r="F413" s="3"/>
      <c r="G413" s="3"/>
      <c r="H413" s="4"/>
      <c r="I413" s="4"/>
      <c r="J413" s="4"/>
      <c r="K413" s="4"/>
      <c r="L413" s="4"/>
      <c r="M413" s="4"/>
      <c r="N413" s="2" t="str">
        <f t="shared" si="66"/>
        <v/>
      </c>
      <c r="O413" s="2" t="str">
        <f t="shared" si="67"/>
        <v/>
      </c>
      <c r="P413" s="2" t="str">
        <f t="shared" si="68"/>
        <v/>
      </c>
      <c r="Q413" s="2" t="str">
        <f t="shared" si="69"/>
        <v/>
      </c>
      <c r="R413" s="2" t="str">
        <f t="shared" si="70"/>
        <v/>
      </c>
      <c r="S413" s="2" t="str">
        <f t="shared" si="71"/>
        <v/>
      </c>
      <c r="T413" s="2" t="str">
        <f t="shared" si="72"/>
        <v/>
      </c>
      <c r="U413" s="2" t="str">
        <f t="shared" si="73"/>
        <v/>
      </c>
      <c r="V413" s="2" t="b">
        <f t="shared" si="74"/>
        <v>0</v>
      </c>
      <c r="AA413" s="2" t="str">
        <f t="shared" si="75"/>
        <v/>
      </c>
      <c r="AB413" s="2" t="b">
        <f t="shared" si="76"/>
        <v>0</v>
      </c>
    </row>
    <row r="414" spans="1:28" x14ac:dyDescent="0.3">
      <c r="A414" s="2">
        <v>413</v>
      </c>
      <c r="B414" s="4"/>
      <c r="C414" s="4" t="s">
        <v>41</v>
      </c>
      <c r="D414" s="3"/>
      <c r="E414" s="3"/>
      <c r="F414" s="3"/>
      <c r="G414" s="3"/>
      <c r="H414" s="4"/>
      <c r="I414" s="4"/>
      <c r="J414" s="4"/>
      <c r="K414" s="4"/>
      <c r="L414" s="4"/>
      <c r="M414" s="4"/>
      <c r="N414" s="2" t="str">
        <f t="shared" si="66"/>
        <v/>
      </c>
      <c r="O414" s="2" t="str">
        <f t="shared" si="67"/>
        <v/>
      </c>
      <c r="P414" s="2" t="str">
        <f t="shared" si="68"/>
        <v/>
      </c>
      <c r="Q414" s="2" t="str">
        <f t="shared" si="69"/>
        <v/>
      </c>
      <c r="R414" s="2" t="str">
        <f t="shared" si="70"/>
        <v/>
      </c>
      <c r="S414" s="2" t="str">
        <f t="shared" si="71"/>
        <v/>
      </c>
      <c r="T414" s="2" t="str">
        <f t="shared" si="72"/>
        <v/>
      </c>
      <c r="U414" s="2" t="str">
        <f t="shared" si="73"/>
        <v/>
      </c>
      <c r="V414" s="2" t="b">
        <f t="shared" si="74"/>
        <v>0</v>
      </c>
      <c r="AA414" s="2" t="str">
        <f t="shared" si="75"/>
        <v/>
      </c>
      <c r="AB414" s="2" t="b">
        <f t="shared" si="76"/>
        <v>0</v>
      </c>
    </row>
    <row r="415" spans="1:28" x14ac:dyDescent="0.3">
      <c r="A415" s="2">
        <v>414</v>
      </c>
      <c r="B415" s="4"/>
      <c r="C415" s="4" t="s">
        <v>41</v>
      </c>
      <c r="D415" s="3"/>
      <c r="E415" s="3"/>
      <c r="F415" s="3"/>
      <c r="G415" s="3"/>
      <c r="H415" s="4"/>
      <c r="I415" s="4"/>
      <c r="J415" s="4"/>
      <c r="K415" s="4"/>
      <c r="L415" s="4"/>
      <c r="M415" s="4"/>
      <c r="N415" s="2" t="str">
        <f t="shared" si="66"/>
        <v/>
      </c>
      <c r="O415" s="2" t="str">
        <f t="shared" si="67"/>
        <v/>
      </c>
      <c r="P415" s="2" t="str">
        <f t="shared" si="68"/>
        <v/>
      </c>
      <c r="Q415" s="2" t="str">
        <f t="shared" si="69"/>
        <v/>
      </c>
      <c r="R415" s="2" t="str">
        <f t="shared" si="70"/>
        <v/>
      </c>
      <c r="S415" s="2" t="str">
        <f t="shared" si="71"/>
        <v/>
      </c>
      <c r="T415" s="2" t="str">
        <f t="shared" si="72"/>
        <v/>
      </c>
      <c r="U415" s="2" t="str">
        <f t="shared" si="73"/>
        <v/>
      </c>
      <c r="V415" s="2" t="b">
        <f t="shared" si="74"/>
        <v>0</v>
      </c>
      <c r="AA415" s="2" t="str">
        <f t="shared" si="75"/>
        <v/>
      </c>
      <c r="AB415" s="2" t="b">
        <f t="shared" si="76"/>
        <v>0</v>
      </c>
    </row>
    <row r="416" spans="1:28" x14ac:dyDescent="0.3">
      <c r="A416" s="2">
        <v>415</v>
      </c>
      <c r="B416" s="4"/>
      <c r="C416" s="4" t="s">
        <v>41</v>
      </c>
      <c r="D416" s="3"/>
      <c r="E416" s="3"/>
      <c r="F416" s="3"/>
      <c r="G416" s="3"/>
      <c r="H416" s="4"/>
      <c r="I416" s="4"/>
      <c r="J416" s="4"/>
      <c r="K416" s="4"/>
      <c r="L416" s="4"/>
      <c r="M416" s="4"/>
      <c r="N416" s="2" t="str">
        <f t="shared" si="66"/>
        <v/>
      </c>
      <c r="O416" s="2" t="str">
        <f t="shared" si="67"/>
        <v/>
      </c>
      <c r="P416" s="2" t="str">
        <f t="shared" si="68"/>
        <v/>
      </c>
      <c r="Q416" s="2" t="str">
        <f t="shared" si="69"/>
        <v/>
      </c>
      <c r="R416" s="2" t="str">
        <f t="shared" si="70"/>
        <v/>
      </c>
      <c r="S416" s="2" t="str">
        <f t="shared" si="71"/>
        <v/>
      </c>
      <c r="T416" s="2" t="str">
        <f t="shared" si="72"/>
        <v/>
      </c>
      <c r="U416" s="2" t="str">
        <f t="shared" si="73"/>
        <v/>
      </c>
      <c r="V416" s="2" t="b">
        <f t="shared" si="74"/>
        <v>0</v>
      </c>
      <c r="AA416" s="2" t="str">
        <f t="shared" si="75"/>
        <v/>
      </c>
      <c r="AB416" s="2" t="b">
        <f t="shared" si="76"/>
        <v>0</v>
      </c>
    </row>
    <row r="417" spans="1:28" x14ac:dyDescent="0.3">
      <c r="A417" s="2">
        <v>416</v>
      </c>
      <c r="B417" s="4"/>
      <c r="C417" s="4" t="s">
        <v>41</v>
      </c>
      <c r="D417" s="3"/>
      <c r="E417" s="3"/>
      <c r="F417" s="3"/>
      <c r="G417" s="3"/>
      <c r="H417" s="4"/>
      <c r="I417" s="4"/>
      <c r="J417" s="4"/>
      <c r="K417" s="4"/>
      <c r="L417" s="4"/>
      <c r="M417" s="4"/>
      <c r="N417" s="2" t="str">
        <f t="shared" si="66"/>
        <v/>
      </c>
      <c r="O417" s="2" t="str">
        <f t="shared" si="67"/>
        <v/>
      </c>
      <c r="P417" s="2" t="str">
        <f t="shared" si="68"/>
        <v/>
      </c>
      <c r="Q417" s="2" t="str">
        <f t="shared" si="69"/>
        <v/>
      </c>
      <c r="R417" s="2" t="str">
        <f t="shared" si="70"/>
        <v/>
      </c>
      <c r="S417" s="2" t="str">
        <f t="shared" si="71"/>
        <v/>
      </c>
      <c r="T417" s="2" t="str">
        <f t="shared" si="72"/>
        <v/>
      </c>
      <c r="U417" s="2" t="str">
        <f t="shared" si="73"/>
        <v/>
      </c>
      <c r="V417" s="2" t="b">
        <f t="shared" si="74"/>
        <v>0</v>
      </c>
      <c r="AA417" s="2" t="str">
        <f t="shared" si="75"/>
        <v/>
      </c>
      <c r="AB417" s="2" t="b">
        <f t="shared" si="76"/>
        <v>0</v>
      </c>
    </row>
    <row r="418" spans="1:28" x14ac:dyDescent="0.3">
      <c r="A418" s="2">
        <v>417</v>
      </c>
      <c r="B418" s="4"/>
      <c r="C418" s="4" t="s">
        <v>41</v>
      </c>
      <c r="D418" s="3"/>
      <c r="E418" s="3"/>
      <c r="F418" s="3"/>
      <c r="G418" s="3"/>
      <c r="H418" s="4"/>
      <c r="I418" s="4"/>
      <c r="J418" s="4"/>
      <c r="K418" s="4"/>
      <c r="L418" s="4"/>
      <c r="M418" s="4"/>
      <c r="N418" s="2" t="str">
        <f t="shared" si="66"/>
        <v/>
      </c>
      <c r="O418" s="2" t="str">
        <f t="shared" si="67"/>
        <v/>
      </c>
      <c r="P418" s="2" t="str">
        <f t="shared" si="68"/>
        <v/>
      </c>
      <c r="Q418" s="2" t="str">
        <f t="shared" si="69"/>
        <v/>
      </c>
      <c r="R418" s="2" t="str">
        <f t="shared" si="70"/>
        <v/>
      </c>
      <c r="S418" s="2" t="str">
        <f t="shared" si="71"/>
        <v/>
      </c>
      <c r="T418" s="2" t="str">
        <f t="shared" si="72"/>
        <v/>
      </c>
      <c r="U418" s="2" t="str">
        <f t="shared" si="73"/>
        <v/>
      </c>
      <c r="V418" s="2" t="b">
        <f t="shared" si="74"/>
        <v>0</v>
      </c>
      <c r="AA418" s="2" t="str">
        <f t="shared" si="75"/>
        <v/>
      </c>
      <c r="AB418" s="2" t="b">
        <f t="shared" si="76"/>
        <v>0</v>
      </c>
    </row>
    <row r="419" spans="1:28" x14ac:dyDescent="0.3">
      <c r="A419" s="2">
        <v>418</v>
      </c>
      <c r="B419" s="4"/>
      <c r="C419" s="4" t="s">
        <v>41</v>
      </c>
      <c r="D419" s="3"/>
      <c r="E419" s="3"/>
      <c r="F419" s="3"/>
      <c r="G419" s="3"/>
      <c r="H419" s="4"/>
      <c r="I419" s="4"/>
      <c r="J419" s="4"/>
      <c r="K419" s="4"/>
      <c r="L419" s="4"/>
      <c r="M419" s="4"/>
      <c r="N419" s="2" t="str">
        <f t="shared" si="66"/>
        <v/>
      </c>
      <c r="O419" s="2" t="str">
        <f t="shared" si="67"/>
        <v/>
      </c>
      <c r="P419" s="2" t="str">
        <f t="shared" si="68"/>
        <v/>
      </c>
      <c r="Q419" s="2" t="str">
        <f t="shared" si="69"/>
        <v/>
      </c>
      <c r="R419" s="2" t="str">
        <f t="shared" si="70"/>
        <v/>
      </c>
      <c r="S419" s="2" t="str">
        <f t="shared" si="71"/>
        <v/>
      </c>
      <c r="T419" s="2" t="str">
        <f t="shared" si="72"/>
        <v/>
      </c>
      <c r="U419" s="2" t="str">
        <f t="shared" si="73"/>
        <v/>
      </c>
      <c r="V419" s="2" t="b">
        <f t="shared" si="74"/>
        <v>0</v>
      </c>
      <c r="AA419" s="2" t="str">
        <f t="shared" si="75"/>
        <v/>
      </c>
      <c r="AB419" s="2" t="b">
        <f t="shared" si="76"/>
        <v>0</v>
      </c>
    </row>
    <row r="420" spans="1:28" x14ac:dyDescent="0.3">
      <c r="A420" s="2">
        <v>419</v>
      </c>
      <c r="B420" s="4"/>
      <c r="C420" s="4" t="s">
        <v>41</v>
      </c>
      <c r="D420" s="3"/>
      <c r="E420" s="3"/>
      <c r="F420" s="3"/>
      <c r="G420" s="3"/>
      <c r="H420" s="4"/>
      <c r="I420" s="4"/>
      <c r="J420" s="4"/>
      <c r="K420" s="4"/>
      <c r="L420" s="4"/>
      <c r="M420" s="4"/>
      <c r="N420" s="2" t="str">
        <f t="shared" si="66"/>
        <v/>
      </c>
      <c r="O420" s="2" t="str">
        <f t="shared" si="67"/>
        <v/>
      </c>
      <c r="P420" s="2" t="str">
        <f t="shared" si="68"/>
        <v/>
      </c>
      <c r="Q420" s="2" t="str">
        <f t="shared" si="69"/>
        <v/>
      </c>
      <c r="R420" s="2" t="str">
        <f t="shared" si="70"/>
        <v/>
      </c>
      <c r="S420" s="2" t="str">
        <f t="shared" si="71"/>
        <v/>
      </c>
      <c r="T420" s="2" t="str">
        <f t="shared" si="72"/>
        <v/>
      </c>
      <c r="U420" s="2" t="str">
        <f t="shared" si="73"/>
        <v/>
      </c>
      <c r="V420" s="2" t="b">
        <f t="shared" si="74"/>
        <v>0</v>
      </c>
      <c r="AA420" s="2" t="str">
        <f t="shared" si="75"/>
        <v/>
      </c>
      <c r="AB420" s="2" t="b">
        <f t="shared" si="76"/>
        <v>0</v>
      </c>
    </row>
    <row r="421" spans="1:28" x14ac:dyDescent="0.3">
      <c r="A421" s="2">
        <v>420</v>
      </c>
      <c r="B421" s="4"/>
      <c r="C421" s="4" t="s">
        <v>41</v>
      </c>
      <c r="D421" s="3"/>
      <c r="E421" s="3"/>
      <c r="F421" s="3"/>
      <c r="G421" s="3"/>
      <c r="H421" s="4"/>
      <c r="I421" s="4"/>
      <c r="J421" s="4"/>
      <c r="K421" s="4"/>
      <c r="L421" s="4"/>
      <c r="M421" s="4"/>
      <c r="N421" s="2" t="str">
        <f t="shared" si="66"/>
        <v/>
      </c>
      <c r="O421" s="2" t="str">
        <f t="shared" si="67"/>
        <v/>
      </c>
      <c r="P421" s="2" t="str">
        <f t="shared" si="68"/>
        <v/>
      </c>
      <c r="Q421" s="2" t="str">
        <f t="shared" si="69"/>
        <v/>
      </c>
      <c r="R421" s="2" t="str">
        <f t="shared" si="70"/>
        <v/>
      </c>
      <c r="S421" s="2" t="str">
        <f t="shared" si="71"/>
        <v/>
      </c>
      <c r="T421" s="2" t="str">
        <f t="shared" si="72"/>
        <v/>
      </c>
      <c r="U421" s="2" t="str">
        <f t="shared" si="73"/>
        <v/>
      </c>
      <c r="V421" s="2" t="b">
        <f t="shared" si="74"/>
        <v>0</v>
      </c>
      <c r="AA421" s="2" t="str">
        <f t="shared" si="75"/>
        <v/>
      </c>
      <c r="AB421" s="2" t="b">
        <f t="shared" si="76"/>
        <v>0</v>
      </c>
    </row>
    <row r="422" spans="1:28" x14ac:dyDescent="0.3">
      <c r="A422" s="2">
        <v>421</v>
      </c>
      <c r="B422" s="4"/>
      <c r="C422" s="4" t="s">
        <v>41</v>
      </c>
      <c r="D422" s="3"/>
      <c r="E422" s="3"/>
      <c r="F422" s="3"/>
      <c r="G422" s="3"/>
      <c r="H422" s="4"/>
      <c r="I422" s="4"/>
      <c r="J422" s="4"/>
      <c r="K422" s="4"/>
      <c r="L422" s="4"/>
      <c r="M422" s="4"/>
      <c r="N422" s="2" t="str">
        <f t="shared" si="66"/>
        <v/>
      </c>
      <c r="O422" s="2" t="str">
        <f t="shared" si="67"/>
        <v/>
      </c>
      <c r="P422" s="2" t="str">
        <f t="shared" si="68"/>
        <v/>
      </c>
      <c r="Q422" s="2" t="str">
        <f t="shared" si="69"/>
        <v/>
      </c>
      <c r="R422" s="2" t="str">
        <f t="shared" si="70"/>
        <v/>
      </c>
      <c r="S422" s="2" t="str">
        <f t="shared" si="71"/>
        <v/>
      </c>
      <c r="T422" s="2" t="str">
        <f t="shared" si="72"/>
        <v/>
      </c>
      <c r="U422" s="2" t="str">
        <f t="shared" si="73"/>
        <v/>
      </c>
      <c r="V422" s="2" t="b">
        <f t="shared" si="74"/>
        <v>0</v>
      </c>
      <c r="AA422" s="2" t="str">
        <f t="shared" si="75"/>
        <v/>
      </c>
      <c r="AB422" s="2" t="b">
        <f t="shared" si="76"/>
        <v>0</v>
      </c>
    </row>
    <row r="423" spans="1:28" x14ac:dyDescent="0.3">
      <c r="A423" s="2">
        <v>422</v>
      </c>
      <c r="B423" s="4"/>
      <c r="C423" s="4" t="s">
        <v>41</v>
      </c>
      <c r="D423" s="3"/>
      <c r="E423" s="3"/>
      <c r="F423" s="3"/>
      <c r="G423" s="3"/>
      <c r="H423" s="4"/>
      <c r="I423" s="4"/>
      <c r="J423" s="4"/>
      <c r="K423" s="4"/>
      <c r="L423" s="4"/>
      <c r="M423" s="4"/>
      <c r="N423" s="2" t="str">
        <f t="shared" si="66"/>
        <v/>
      </c>
      <c r="O423" s="2" t="str">
        <f t="shared" si="67"/>
        <v/>
      </c>
      <c r="P423" s="2" t="str">
        <f t="shared" si="68"/>
        <v/>
      </c>
      <c r="Q423" s="2" t="str">
        <f t="shared" si="69"/>
        <v/>
      </c>
      <c r="R423" s="2" t="str">
        <f t="shared" si="70"/>
        <v/>
      </c>
      <c r="S423" s="2" t="str">
        <f t="shared" si="71"/>
        <v/>
      </c>
      <c r="T423" s="2" t="str">
        <f t="shared" si="72"/>
        <v/>
      </c>
      <c r="U423" s="2" t="str">
        <f t="shared" si="73"/>
        <v/>
      </c>
      <c r="V423" s="2" t="b">
        <f t="shared" si="74"/>
        <v>0</v>
      </c>
      <c r="AA423" s="2" t="str">
        <f t="shared" si="75"/>
        <v/>
      </c>
      <c r="AB423" s="2" t="b">
        <f t="shared" si="76"/>
        <v>0</v>
      </c>
    </row>
    <row r="424" spans="1:28" x14ac:dyDescent="0.3">
      <c r="A424" s="2">
        <v>423</v>
      </c>
      <c r="B424" s="4"/>
      <c r="C424" s="4" t="s">
        <v>41</v>
      </c>
      <c r="D424" s="3"/>
      <c r="E424" s="3"/>
      <c r="F424" s="3"/>
      <c r="G424" s="3"/>
      <c r="H424" s="4"/>
      <c r="I424" s="4"/>
      <c r="J424" s="4"/>
      <c r="K424" s="4"/>
      <c r="L424" s="4"/>
      <c r="M424" s="4"/>
      <c r="N424" s="2" t="str">
        <f t="shared" si="66"/>
        <v/>
      </c>
      <c r="O424" s="2" t="str">
        <f t="shared" si="67"/>
        <v/>
      </c>
      <c r="P424" s="2" t="str">
        <f t="shared" si="68"/>
        <v/>
      </c>
      <c r="Q424" s="2" t="str">
        <f t="shared" si="69"/>
        <v/>
      </c>
      <c r="R424" s="2" t="str">
        <f t="shared" si="70"/>
        <v/>
      </c>
      <c r="S424" s="2" t="str">
        <f t="shared" si="71"/>
        <v/>
      </c>
      <c r="T424" s="2" t="str">
        <f t="shared" si="72"/>
        <v/>
      </c>
      <c r="U424" s="2" t="str">
        <f t="shared" si="73"/>
        <v/>
      </c>
      <c r="V424" s="2" t="b">
        <f t="shared" si="74"/>
        <v>0</v>
      </c>
      <c r="AA424" s="2" t="str">
        <f t="shared" si="75"/>
        <v/>
      </c>
      <c r="AB424" s="2" t="b">
        <f t="shared" si="76"/>
        <v>0</v>
      </c>
    </row>
    <row r="425" spans="1:28" x14ac:dyDescent="0.3">
      <c r="A425" s="2">
        <v>424</v>
      </c>
      <c r="B425" s="4"/>
      <c r="C425" s="4" t="s">
        <v>41</v>
      </c>
      <c r="D425" s="3"/>
      <c r="E425" s="3"/>
      <c r="F425" s="3"/>
      <c r="G425" s="3"/>
      <c r="H425" s="4"/>
      <c r="I425" s="4"/>
      <c r="J425" s="4"/>
      <c r="K425" s="4"/>
      <c r="L425" s="4"/>
      <c r="M425" s="4"/>
      <c r="N425" s="2" t="str">
        <f t="shared" si="66"/>
        <v/>
      </c>
      <c r="O425" s="2" t="str">
        <f t="shared" si="67"/>
        <v/>
      </c>
      <c r="P425" s="2" t="str">
        <f t="shared" si="68"/>
        <v/>
      </c>
      <c r="Q425" s="2" t="str">
        <f t="shared" si="69"/>
        <v/>
      </c>
      <c r="R425" s="2" t="str">
        <f t="shared" si="70"/>
        <v/>
      </c>
      <c r="S425" s="2" t="str">
        <f t="shared" si="71"/>
        <v/>
      </c>
      <c r="T425" s="2" t="str">
        <f t="shared" si="72"/>
        <v/>
      </c>
      <c r="U425" s="2" t="str">
        <f t="shared" si="73"/>
        <v/>
      </c>
      <c r="V425" s="2" t="b">
        <f t="shared" si="74"/>
        <v>0</v>
      </c>
      <c r="AA425" s="2" t="str">
        <f t="shared" si="75"/>
        <v/>
      </c>
      <c r="AB425" s="2" t="b">
        <f t="shared" si="76"/>
        <v>0</v>
      </c>
    </row>
    <row r="426" spans="1:28" x14ac:dyDescent="0.3">
      <c r="A426" s="2">
        <v>425</v>
      </c>
      <c r="B426" s="4"/>
      <c r="C426" s="4" t="s">
        <v>41</v>
      </c>
      <c r="D426" s="3"/>
      <c r="E426" s="3"/>
      <c r="F426" s="3"/>
      <c r="G426" s="3"/>
      <c r="H426" s="4"/>
      <c r="I426" s="4"/>
      <c r="J426" s="4"/>
      <c r="K426" s="4"/>
      <c r="L426" s="4"/>
      <c r="M426" s="4"/>
      <c r="N426" s="2" t="str">
        <f t="shared" si="66"/>
        <v/>
      </c>
      <c r="O426" s="2" t="str">
        <f t="shared" si="67"/>
        <v/>
      </c>
      <c r="P426" s="2" t="str">
        <f t="shared" si="68"/>
        <v/>
      </c>
      <c r="Q426" s="2" t="str">
        <f t="shared" si="69"/>
        <v/>
      </c>
      <c r="R426" s="2" t="str">
        <f t="shared" si="70"/>
        <v/>
      </c>
      <c r="S426" s="2" t="str">
        <f t="shared" si="71"/>
        <v/>
      </c>
      <c r="T426" s="2" t="str">
        <f t="shared" si="72"/>
        <v/>
      </c>
      <c r="U426" s="2" t="str">
        <f t="shared" si="73"/>
        <v/>
      </c>
      <c r="V426" s="2" t="b">
        <f t="shared" si="74"/>
        <v>0</v>
      </c>
      <c r="AA426" s="2" t="str">
        <f t="shared" si="75"/>
        <v/>
      </c>
      <c r="AB426" s="2" t="b">
        <f t="shared" si="76"/>
        <v>0</v>
      </c>
    </row>
    <row r="427" spans="1:28" x14ac:dyDescent="0.3">
      <c r="A427" s="2">
        <v>426</v>
      </c>
      <c r="B427" s="4"/>
      <c r="C427" s="4" t="s">
        <v>41</v>
      </c>
      <c r="D427" s="3"/>
      <c r="E427" s="3"/>
      <c r="F427" s="3"/>
      <c r="G427" s="3"/>
      <c r="H427" s="4"/>
      <c r="I427" s="4"/>
      <c r="J427" s="4"/>
      <c r="K427" s="4"/>
      <c r="L427" s="4"/>
      <c r="M427" s="4"/>
      <c r="N427" s="2" t="str">
        <f t="shared" si="66"/>
        <v/>
      </c>
      <c r="O427" s="2" t="str">
        <f t="shared" si="67"/>
        <v/>
      </c>
      <c r="P427" s="2" t="str">
        <f t="shared" si="68"/>
        <v/>
      </c>
      <c r="Q427" s="2" t="str">
        <f t="shared" si="69"/>
        <v/>
      </c>
      <c r="R427" s="2" t="str">
        <f t="shared" si="70"/>
        <v/>
      </c>
      <c r="S427" s="2" t="str">
        <f t="shared" si="71"/>
        <v/>
      </c>
      <c r="T427" s="2" t="str">
        <f t="shared" si="72"/>
        <v/>
      </c>
      <c r="U427" s="2" t="str">
        <f t="shared" si="73"/>
        <v/>
      </c>
      <c r="V427" s="2" t="b">
        <f t="shared" si="74"/>
        <v>0</v>
      </c>
      <c r="AA427" s="2" t="str">
        <f t="shared" si="75"/>
        <v/>
      </c>
      <c r="AB427" s="2" t="b">
        <f t="shared" si="76"/>
        <v>0</v>
      </c>
    </row>
    <row r="428" spans="1:28" x14ac:dyDescent="0.3">
      <c r="A428" s="2">
        <v>427</v>
      </c>
      <c r="B428" s="4"/>
      <c r="C428" s="4" t="s">
        <v>41</v>
      </c>
      <c r="D428" s="3"/>
      <c r="E428" s="3"/>
      <c r="F428" s="3"/>
      <c r="G428" s="3"/>
      <c r="H428" s="4"/>
      <c r="I428" s="4"/>
      <c r="J428" s="4"/>
      <c r="K428" s="4"/>
      <c r="L428" s="4"/>
      <c r="M428" s="4"/>
      <c r="N428" s="2" t="str">
        <f t="shared" si="66"/>
        <v/>
      </c>
      <c r="O428" s="2" t="str">
        <f t="shared" si="67"/>
        <v/>
      </c>
      <c r="P428" s="2" t="str">
        <f t="shared" si="68"/>
        <v/>
      </c>
      <c r="Q428" s="2" t="str">
        <f t="shared" si="69"/>
        <v/>
      </c>
      <c r="R428" s="2" t="str">
        <f t="shared" si="70"/>
        <v/>
      </c>
      <c r="S428" s="2" t="str">
        <f t="shared" si="71"/>
        <v/>
      </c>
      <c r="T428" s="2" t="str">
        <f t="shared" si="72"/>
        <v/>
      </c>
      <c r="U428" s="2" t="str">
        <f t="shared" si="73"/>
        <v/>
      </c>
      <c r="V428" s="2" t="b">
        <f t="shared" si="74"/>
        <v>0</v>
      </c>
      <c r="AA428" s="2" t="str">
        <f t="shared" si="75"/>
        <v/>
      </c>
      <c r="AB428" s="2" t="b">
        <f t="shared" si="76"/>
        <v>0</v>
      </c>
    </row>
    <row r="429" spans="1:28" x14ac:dyDescent="0.3">
      <c r="A429" s="2">
        <v>428</v>
      </c>
      <c r="B429" s="4"/>
      <c r="C429" s="4" t="s">
        <v>41</v>
      </c>
      <c r="D429" s="3"/>
      <c r="E429" s="3"/>
      <c r="F429" s="3"/>
      <c r="G429" s="3"/>
      <c r="H429" s="4"/>
      <c r="I429" s="4"/>
      <c r="J429" s="4"/>
      <c r="K429" s="4"/>
      <c r="L429" s="4"/>
      <c r="M429" s="4"/>
      <c r="N429" s="2" t="str">
        <f t="shared" si="66"/>
        <v/>
      </c>
      <c r="O429" s="2" t="str">
        <f t="shared" si="67"/>
        <v/>
      </c>
      <c r="P429" s="2" t="str">
        <f t="shared" si="68"/>
        <v/>
      </c>
      <c r="Q429" s="2" t="str">
        <f t="shared" si="69"/>
        <v/>
      </c>
      <c r="R429" s="2" t="str">
        <f t="shared" si="70"/>
        <v/>
      </c>
      <c r="S429" s="2" t="str">
        <f t="shared" si="71"/>
        <v/>
      </c>
      <c r="T429" s="2" t="str">
        <f t="shared" si="72"/>
        <v/>
      </c>
      <c r="U429" s="2" t="str">
        <f t="shared" si="73"/>
        <v/>
      </c>
      <c r="V429" s="2" t="b">
        <f t="shared" si="74"/>
        <v>0</v>
      </c>
      <c r="AA429" s="2" t="str">
        <f t="shared" si="75"/>
        <v/>
      </c>
      <c r="AB429" s="2" t="b">
        <f t="shared" si="76"/>
        <v>0</v>
      </c>
    </row>
    <row r="430" spans="1:28" x14ac:dyDescent="0.3">
      <c r="A430" s="2">
        <v>429</v>
      </c>
      <c r="B430" s="4"/>
      <c r="C430" s="4" t="s">
        <v>41</v>
      </c>
      <c r="D430" s="3"/>
      <c r="E430" s="3"/>
      <c r="F430" s="3"/>
      <c r="G430" s="3"/>
      <c r="H430" s="4"/>
      <c r="I430" s="4"/>
      <c r="J430" s="4"/>
      <c r="K430" s="4"/>
      <c r="L430" s="4"/>
      <c r="M430" s="4"/>
      <c r="N430" s="2" t="str">
        <f t="shared" si="66"/>
        <v/>
      </c>
      <c r="O430" s="2" t="str">
        <f t="shared" si="67"/>
        <v/>
      </c>
      <c r="P430" s="2" t="str">
        <f t="shared" si="68"/>
        <v/>
      </c>
      <c r="Q430" s="2" t="str">
        <f t="shared" si="69"/>
        <v/>
      </c>
      <c r="R430" s="2" t="str">
        <f t="shared" si="70"/>
        <v/>
      </c>
      <c r="S430" s="2" t="str">
        <f t="shared" si="71"/>
        <v/>
      </c>
      <c r="T430" s="2" t="str">
        <f t="shared" si="72"/>
        <v/>
      </c>
      <c r="U430" s="2" t="str">
        <f t="shared" si="73"/>
        <v/>
      </c>
      <c r="V430" s="2" t="b">
        <f t="shared" si="74"/>
        <v>0</v>
      </c>
      <c r="AA430" s="2" t="str">
        <f t="shared" si="75"/>
        <v/>
      </c>
      <c r="AB430" s="2" t="b">
        <f t="shared" si="76"/>
        <v>0</v>
      </c>
    </row>
    <row r="431" spans="1:28" x14ac:dyDescent="0.3">
      <c r="A431" s="2">
        <v>430</v>
      </c>
      <c r="B431" s="4"/>
      <c r="C431" s="4" t="s">
        <v>41</v>
      </c>
      <c r="D431" s="3"/>
      <c r="E431" s="3"/>
      <c r="F431" s="3"/>
      <c r="G431" s="3"/>
      <c r="H431" s="4"/>
      <c r="I431" s="4"/>
      <c r="J431" s="4"/>
      <c r="K431" s="4"/>
      <c r="L431" s="4"/>
      <c r="M431" s="4"/>
      <c r="N431" s="2" t="str">
        <f t="shared" si="66"/>
        <v/>
      </c>
      <c r="O431" s="2" t="str">
        <f t="shared" si="67"/>
        <v/>
      </c>
      <c r="P431" s="2" t="str">
        <f t="shared" si="68"/>
        <v/>
      </c>
      <c r="Q431" s="2" t="str">
        <f t="shared" si="69"/>
        <v/>
      </c>
      <c r="R431" s="2" t="str">
        <f t="shared" si="70"/>
        <v/>
      </c>
      <c r="S431" s="2" t="str">
        <f t="shared" si="71"/>
        <v/>
      </c>
      <c r="T431" s="2" t="str">
        <f t="shared" si="72"/>
        <v/>
      </c>
      <c r="U431" s="2" t="str">
        <f t="shared" si="73"/>
        <v/>
      </c>
      <c r="V431" s="2" t="b">
        <f t="shared" si="74"/>
        <v>0</v>
      </c>
      <c r="AA431" s="2" t="str">
        <f t="shared" si="75"/>
        <v/>
      </c>
      <c r="AB431" s="2" t="b">
        <f t="shared" si="76"/>
        <v>0</v>
      </c>
    </row>
    <row r="432" spans="1:28" x14ac:dyDescent="0.3">
      <c r="A432" s="2">
        <v>431</v>
      </c>
      <c r="B432" s="4"/>
      <c r="C432" s="4" t="s">
        <v>41</v>
      </c>
      <c r="D432" s="3"/>
      <c r="E432" s="3"/>
      <c r="F432" s="3"/>
      <c r="G432" s="3"/>
      <c r="H432" s="4"/>
      <c r="I432" s="4"/>
      <c r="J432" s="4"/>
      <c r="K432" s="4"/>
      <c r="L432" s="4"/>
      <c r="M432" s="4"/>
      <c r="N432" s="2" t="str">
        <f t="shared" si="66"/>
        <v/>
      </c>
      <c r="O432" s="2" t="str">
        <f t="shared" si="67"/>
        <v/>
      </c>
      <c r="P432" s="2" t="str">
        <f t="shared" si="68"/>
        <v/>
      </c>
      <c r="Q432" s="2" t="str">
        <f t="shared" si="69"/>
        <v/>
      </c>
      <c r="R432" s="2" t="str">
        <f t="shared" si="70"/>
        <v/>
      </c>
      <c r="S432" s="2" t="str">
        <f t="shared" si="71"/>
        <v/>
      </c>
      <c r="T432" s="2" t="str">
        <f t="shared" si="72"/>
        <v/>
      </c>
      <c r="U432" s="2" t="str">
        <f t="shared" si="73"/>
        <v/>
      </c>
      <c r="V432" s="2" t="b">
        <f t="shared" si="74"/>
        <v>0</v>
      </c>
      <c r="AA432" s="2" t="str">
        <f t="shared" si="75"/>
        <v/>
      </c>
      <c r="AB432" s="2" t="b">
        <f t="shared" si="76"/>
        <v>0</v>
      </c>
    </row>
    <row r="433" spans="1:28" x14ac:dyDescent="0.3">
      <c r="A433" s="2">
        <v>432</v>
      </c>
      <c r="B433" s="4"/>
      <c r="C433" s="4" t="s">
        <v>41</v>
      </c>
      <c r="D433" s="3"/>
      <c r="E433" s="3"/>
      <c r="F433" s="3"/>
      <c r="G433" s="3"/>
      <c r="H433" s="4"/>
      <c r="I433" s="4"/>
      <c r="J433" s="4"/>
      <c r="K433" s="4"/>
      <c r="L433" s="4"/>
      <c r="M433" s="4"/>
      <c r="N433" s="2" t="str">
        <f t="shared" si="66"/>
        <v/>
      </c>
      <c r="O433" s="2" t="str">
        <f t="shared" si="67"/>
        <v/>
      </c>
      <c r="P433" s="2" t="str">
        <f t="shared" si="68"/>
        <v/>
      </c>
      <c r="Q433" s="2" t="str">
        <f t="shared" si="69"/>
        <v/>
      </c>
      <c r="R433" s="2" t="str">
        <f t="shared" si="70"/>
        <v/>
      </c>
      <c r="S433" s="2" t="str">
        <f t="shared" si="71"/>
        <v/>
      </c>
      <c r="T433" s="2" t="str">
        <f t="shared" si="72"/>
        <v/>
      </c>
      <c r="U433" s="2" t="str">
        <f t="shared" si="73"/>
        <v/>
      </c>
      <c r="V433" s="2" t="b">
        <f t="shared" si="74"/>
        <v>0</v>
      </c>
      <c r="AA433" s="2" t="str">
        <f t="shared" si="75"/>
        <v/>
      </c>
      <c r="AB433" s="2" t="b">
        <f t="shared" si="76"/>
        <v>0</v>
      </c>
    </row>
    <row r="434" spans="1:28" x14ac:dyDescent="0.3">
      <c r="A434" s="2">
        <v>433</v>
      </c>
      <c r="B434" s="4"/>
      <c r="C434" s="4" t="s">
        <v>41</v>
      </c>
      <c r="D434" s="3"/>
      <c r="E434" s="3"/>
      <c r="F434" s="3"/>
      <c r="G434" s="3"/>
      <c r="H434" s="4"/>
      <c r="I434" s="4"/>
      <c r="J434" s="4"/>
      <c r="K434" s="4"/>
      <c r="L434" s="4"/>
      <c r="M434" s="4"/>
      <c r="N434" s="2" t="str">
        <f t="shared" si="66"/>
        <v/>
      </c>
      <c r="O434" s="2" t="str">
        <f t="shared" si="67"/>
        <v/>
      </c>
      <c r="P434" s="2" t="str">
        <f t="shared" si="68"/>
        <v/>
      </c>
      <c r="Q434" s="2" t="str">
        <f t="shared" si="69"/>
        <v/>
      </c>
      <c r="R434" s="2" t="str">
        <f t="shared" si="70"/>
        <v/>
      </c>
      <c r="S434" s="2" t="str">
        <f t="shared" si="71"/>
        <v/>
      </c>
      <c r="T434" s="2" t="str">
        <f t="shared" si="72"/>
        <v/>
      </c>
      <c r="U434" s="2" t="str">
        <f t="shared" si="73"/>
        <v/>
      </c>
      <c r="V434" s="2" t="b">
        <f t="shared" si="74"/>
        <v>0</v>
      </c>
      <c r="AA434" s="2" t="str">
        <f t="shared" si="75"/>
        <v/>
      </c>
      <c r="AB434" s="2" t="b">
        <f t="shared" si="76"/>
        <v>0</v>
      </c>
    </row>
    <row r="435" spans="1:28" x14ac:dyDescent="0.3">
      <c r="A435" s="2">
        <v>434</v>
      </c>
      <c r="B435" s="4"/>
      <c r="C435" s="4" t="s">
        <v>41</v>
      </c>
      <c r="D435" s="3"/>
      <c r="E435" s="3"/>
      <c r="F435" s="3"/>
      <c r="G435" s="3"/>
      <c r="H435" s="4"/>
      <c r="I435" s="4"/>
      <c r="J435" s="4"/>
      <c r="K435" s="4"/>
      <c r="L435" s="4"/>
      <c r="M435" s="4"/>
      <c r="N435" s="2" t="str">
        <f t="shared" si="66"/>
        <v/>
      </c>
      <c r="O435" s="2" t="str">
        <f t="shared" si="67"/>
        <v/>
      </c>
      <c r="P435" s="2" t="str">
        <f t="shared" si="68"/>
        <v/>
      </c>
      <c r="Q435" s="2" t="str">
        <f t="shared" si="69"/>
        <v/>
      </c>
      <c r="R435" s="2" t="str">
        <f t="shared" si="70"/>
        <v/>
      </c>
      <c r="S435" s="2" t="str">
        <f t="shared" si="71"/>
        <v/>
      </c>
      <c r="T435" s="2" t="str">
        <f t="shared" si="72"/>
        <v/>
      </c>
      <c r="U435" s="2" t="str">
        <f t="shared" si="73"/>
        <v/>
      </c>
      <c r="V435" s="2" t="b">
        <f t="shared" si="74"/>
        <v>0</v>
      </c>
      <c r="AA435" s="2" t="str">
        <f t="shared" si="75"/>
        <v/>
      </c>
      <c r="AB435" s="2" t="b">
        <f t="shared" si="76"/>
        <v>0</v>
      </c>
    </row>
    <row r="436" spans="1:28" x14ac:dyDescent="0.3">
      <c r="A436" s="2">
        <v>435</v>
      </c>
      <c r="B436" s="4"/>
      <c r="C436" s="4" t="s">
        <v>41</v>
      </c>
      <c r="D436" s="3"/>
      <c r="E436" s="3"/>
      <c r="F436" s="3"/>
      <c r="G436" s="3"/>
      <c r="H436" s="4"/>
      <c r="I436" s="4"/>
      <c r="J436" s="4"/>
      <c r="K436" s="4"/>
      <c r="L436" s="4"/>
      <c r="M436" s="4"/>
      <c r="N436" s="2" t="str">
        <f t="shared" si="66"/>
        <v/>
      </c>
      <c r="O436" s="2" t="str">
        <f t="shared" si="67"/>
        <v/>
      </c>
      <c r="P436" s="2" t="str">
        <f t="shared" si="68"/>
        <v/>
      </c>
      <c r="Q436" s="2" t="str">
        <f t="shared" si="69"/>
        <v/>
      </c>
      <c r="R436" s="2" t="str">
        <f t="shared" si="70"/>
        <v/>
      </c>
      <c r="S436" s="2" t="str">
        <f t="shared" si="71"/>
        <v/>
      </c>
      <c r="T436" s="2" t="str">
        <f t="shared" si="72"/>
        <v/>
      </c>
      <c r="U436" s="2" t="str">
        <f t="shared" si="73"/>
        <v/>
      </c>
      <c r="V436" s="2" t="b">
        <f t="shared" si="74"/>
        <v>0</v>
      </c>
      <c r="AA436" s="2" t="str">
        <f t="shared" si="75"/>
        <v/>
      </c>
      <c r="AB436" s="2" t="b">
        <f t="shared" si="76"/>
        <v>0</v>
      </c>
    </row>
    <row r="437" spans="1:28" x14ac:dyDescent="0.3">
      <c r="A437" s="2">
        <v>436</v>
      </c>
      <c r="B437" s="4"/>
      <c r="C437" s="4" t="s">
        <v>41</v>
      </c>
      <c r="D437" s="3"/>
      <c r="E437" s="3"/>
      <c r="F437" s="3"/>
      <c r="G437" s="3"/>
      <c r="H437" s="4"/>
      <c r="I437" s="4"/>
      <c r="J437" s="4"/>
      <c r="K437" s="4"/>
      <c r="L437" s="4"/>
      <c r="M437" s="4"/>
      <c r="N437" s="2" t="str">
        <f t="shared" si="66"/>
        <v/>
      </c>
      <c r="O437" s="2" t="str">
        <f t="shared" si="67"/>
        <v/>
      </c>
      <c r="P437" s="2" t="str">
        <f t="shared" si="68"/>
        <v/>
      </c>
      <c r="Q437" s="2" t="str">
        <f t="shared" si="69"/>
        <v/>
      </c>
      <c r="R437" s="2" t="str">
        <f t="shared" si="70"/>
        <v/>
      </c>
      <c r="S437" s="2" t="str">
        <f t="shared" si="71"/>
        <v/>
      </c>
      <c r="T437" s="2" t="str">
        <f t="shared" si="72"/>
        <v/>
      </c>
      <c r="U437" s="2" t="str">
        <f t="shared" si="73"/>
        <v/>
      </c>
      <c r="V437" s="2" t="b">
        <f t="shared" si="74"/>
        <v>0</v>
      </c>
      <c r="AA437" s="2" t="str">
        <f t="shared" si="75"/>
        <v/>
      </c>
      <c r="AB437" s="2" t="b">
        <f t="shared" si="76"/>
        <v>0</v>
      </c>
    </row>
    <row r="438" spans="1:28" x14ac:dyDescent="0.3">
      <c r="A438" s="2">
        <v>437</v>
      </c>
      <c r="B438" s="4"/>
      <c r="C438" s="4" t="s">
        <v>41</v>
      </c>
      <c r="D438" s="3"/>
      <c r="E438" s="3"/>
      <c r="F438" s="3"/>
      <c r="G438" s="3"/>
      <c r="H438" s="4"/>
      <c r="I438" s="4"/>
      <c r="J438" s="4"/>
      <c r="K438" s="4"/>
      <c r="L438" s="4"/>
      <c r="M438" s="4"/>
      <c r="N438" s="2" t="str">
        <f t="shared" si="66"/>
        <v/>
      </c>
      <c r="O438" s="2" t="str">
        <f t="shared" si="67"/>
        <v/>
      </c>
      <c r="P438" s="2" t="str">
        <f t="shared" si="68"/>
        <v/>
      </c>
      <c r="Q438" s="2" t="str">
        <f t="shared" si="69"/>
        <v/>
      </c>
      <c r="R438" s="2" t="str">
        <f t="shared" si="70"/>
        <v/>
      </c>
      <c r="S438" s="2" t="str">
        <f t="shared" si="71"/>
        <v/>
      </c>
      <c r="T438" s="2" t="str">
        <f t="shared" si="72"/>
        <v/>
      </c>
      <c r="U438" s="2" t="str">
        <f t="shared" si="73"/>
        <v/>
      </c>
      <c r="V438" s="2" t="b">
        <f t="shared" si="74"/>
        <v>0</v>
      </c>
      <c r="AA438" s="2" t="str">
        <f t="shared" si="75"/>
        <v/>
      </c>
      <c r="AB438" s="2" t="b">
        <f t="shared" si="76"/>
        <v>0</v>
      </c>
    </row>
    <row r="439" spans="1:28" x14ac:dyDescent="0.3">
      <c r="A439" s="2">
        <v>438</v>
      </c>
      <c r="B439" s="4"/>
      <c r="C439" s="4" t="s">
        <v>41</v>
      </c>
      <c r="D439" s="3"/>
      <c r="E439" s="3"/>
      <c r="F439" s="3"/>
      <c r="G439" s="3"/>
      <c r="H439" s="4"/>
      <c r="I439" s="4"/>
      <c r="J439" s="4"/>
      <c r="K439" s="4"/>
      <c r="L439" s="4"/>
      <c r="M439" s="4"/>
      <c r="N439" s="2" t="str">
        <f t="shared" si="66"/>
        <v/>
      </c>
      <c r="O439" s="2" t="str">
        <f t="shared" si="67"/>
        <v/>
      </c>
      <c r="P439" s="2" t="str">
        <f t="shared" si="68"/>
        <v/>
      </c>
      <c r="Q439" s="2" t="str">
        <f t="shared" si="69"/>
        <v/>
      </c>
      <c r="R439" s="2" t="str">
        <f t="shared" si="70"/>
        <v/>
      </c>
      <c r="S439" s="2" t="str">
        <f t="shared" si="71"/>
        <v/>
      </c>
      <c r="T439" s="2" t="str">
        <f t="shared" si="72"/>
        <v/>
      </c>
      <c r="U439" s="2" t="str">
        <f t="shared" si="73"/>
        <v/>
      </c>
      <c r="V439" s="2" t="b">
        <f t="shared" si="74"/>
        <v>0</v>
      </c>
      <c r="AA439" s="2" t="str">
        <f t="shared" si="75"/>
        <v/>
      </c>
      <c r="AB439" s="2" t="b">
        <f t="shared" si="76"/>
        <v>0</v>
      </c>
    </row>
    <row r="440" spans="1:28" x14ac:dyDescent="0.3">
      <c r="A440" s="2">
        <v>439</v>
      </c>
      <c r="B440" s="4"/>
      <c r="C440" s="4" t="s">
        <v>41</v>
      </c>
      <c r="D440" s="3"/>
      <c r="E440" s="3"/>
      <c r="F440" s="3"/>
      <c r="G440" s="3"/>
      <c r="H440" s="4"/>
      <c r="I440" s="4"/>
      <c r="J440" s="4"/>
      <c r="K440" s="4"/>
      <c r="L440" s="4"/>
      <c r="M440" s="4"/>
      <c r="N440" s="2" t="str">
        <f t="shared" si="66"/>
        <v/>
      </c>
      <c r="O440" s="2" t="str">
        <f t="shared" si="67"/>
        <v/>
      </c>
      <c r="P440" s="2" t="str">
        <f t="shared" si="68"/>
        <v/>
      </c>
      <c r="Q440" s="2" t="str">
        <f t="shared" si="69"/>
        <v/>
      </c>
      <c r="R440" s="2" t="str">
        <f t="shared" si="70"/>
        <v/>
      </c>
      <c r="S440" s="2" t="str">
        <f t="shared" si="71"/>
        <v/>
      </c>
      <c r="T440" s="2" t="str">
        <f t="shared" si="72"/>
        <v/>
      </c>
      <c r="U440" s="2" t="str">
        <f t="shared" si="73"/>
        <v/>
      </c>
      <c r="V440" s="2" t="b">
        <f t="shared" si="74"/>
        <v>0</v>
      </c>
      <c r="AA440" s="2" t="str">
        <f t="shared" si="75"/>
        <v/>
      </c>
      <c r="AB440" s="2" t="b">
        <f t="shared" si="76"/>
        <v>0</v>
      </c>
    </row>
    <row r="441" spans="1:28" x14ac:dyDescent="0.3">
      <c r="A441" s="2">
        <v>440</v>
      </c>
      <c r="B441" s="4"/>
      <c r="C441" s="4" t="s">
        <v>41</v>
      </c>
      <c r="D441" s="3"/>
      <c r="E441" s="3"/>
      <c r="F441" s="3"/>
      <c r="G441" s="3"/>
      <c r="H441" s="4"/>
      <c r="I441" s="4"/>
      <c r="J441" s="4"/>
      <c r="K441" s="4"/>
      <c r="L441" s="4"/>
      <c r="M441" s="4"/>
      <c r="N441" s="2" t="str">
        <f t="shared" si="66"/>
        <v/>
      </c>
      <c r="O441" s="2" t="str">
        <f t="shared" si="67"/>
        <v/>
      </c>
      <c r="P441" s="2" t="str">
        <f t="shared" si="68"/>
        <v/>
      </c>
      <c r="Q441" s="2" t="str">
        <f t="shared" si="69"/>
        <v/>
      </c>
      <c r="R441" s="2" t="str">
        <f t="shared" si="70"/>
        <v/>
      </c>
      <c r="S441" s="2" t="str">
        <f t="shared" si="71"/>
        <v/>
      </c>
      <c r="T441" s="2" t="str">
        <f t="shared" si="72"/>
        <v/>
      </c>
      <c r="U441" s="2" t="str">
        <f t="shared" si="73"/>
        <v/>
      </c>
      <c r="V441" s="2" t="b">
        <f t="shared" si="74"/>
        <v>0</v>
      </c>
      <c r="AA441" s="2" t="str">
        <f t="shared" si="75"/>
        <v/>
      </c>
      <c r="AB441" s="2" t="b">
        <f t="shared" si="76"/>
        <v>0</v>
      </c>
    </row>
    <row r="442" spans="1:28" x14ac:dyDescent="0.3">
      <c r="A442" s="2">
        <v>441</v>
      </c>
      <c r="B442" s="4"/>
      <c r="C442" s="4" t="s">
        <v>41</v>
      </c>
      <c r="D442" s="3"/>
      <c r="E442" s="3"/>
      <c r="F442" s="3"/>
      <c r="G442" s="3"/>
      <c r="H442" s="4"/>
      <c r="I442" s="4"/>
      <c r="J442" s="4"/>
      <c r="K442" s="4"/>
      <c r="L442" s="4"/>
      <c r="M442" s="4"/>
      <c r="N442" s="2" t="str">
        <f t="shared" si="66"/>
        <v/>
      </c>
      <c r="O442" s="2" t="str">
        <f t="shared" si="67"/>
        <v/>
      </c>
      <c r="P442" s="2" t="str">
        <f t="shared" si="68"/>
        <v/>
      </c>
      <c r="Q442" s="2" t="str">
        <f t="shared" si="69"/>
        <v/>
      </c>
      <c r="R442" s="2" t="str">
        <f t="shared" si="70"/>
        <v/>
      </c>
      <c r="S442" s="2" t="str">
        <f t="shared" si="71"/>
        <v/>
      </c>
      <c r="T442" s="2" t="str">
        <f t="shared" si="72"/>
        <v/>
      </c>
      <c r="U442" s="2" t="str">
        <f t="shared" si="73"/>
        <v/>
      </c>
      <c r="V442" s="2" t="b">
        <f t="shared" si="74"/>
        <v>0</v>
      </c>
      <c r="AA442" s="2" t="str">
        <f t="shared" si="75"/>
        <v/>
      </c>
      <c r="AB442" s="2" t="b">
        <f t="shared" si="76"/>
        <v>0</v>
      </c>
    </row>
    <row r="443" spans="1:28" x14ac:dyDescent="0.3">
      <c r="A443" s="2">
        <v>442</v>
      </c>
      <c r="B443" s="4"/>
      <c r="C443" s="4" t="s">
        <v>41</v>
      </c>
      <c r="D443" s="3"/>
      <c r="E443" s="3"/>
      <c r="F443" s="3"/>
      <c r="G443" s="3"/>
      <c r="H443" s="4"/>
      <c r="I443" s="4"/>
      <c r="J443" s="4"/>
      <c r="K443" s="4"/>
      <c r="L443" s="4"/>
      <c r="M443" s="4"/>
      <c r="N443" s="2" t="str">
        <f t="shared" si="66"/>
        <v/>
      </c>
      <c r="O443" s="2" t="str">
        <f t="shared" si="67"/>
        <v/>
      </c>
      <c r="P443" s="2" t="str">
        <f t="shared" si="68"/>
        <v/>
      </c>
      <c r="Q443" s="2" t="str">
        <f t="shared" si="69"/>
        <v/>
      </c>
      <c r="R443" s="2" t="str">
        <f t="shared" si="70"/>
        <v/>
      </c>
      <c r="S443" s="2" t="str">
        <f t="shared" si="71"/>
        <v/>
      </c>
      <c r="T443" s="2" t="str">
        <f t="shared" si="72"/>
        <v/>
      </c>
      <c r="U443" s="2" t="str">
        <f t="shared" si="73"/>
        <v/>
      </c>
      <c r="V443" s="2" t="b">
        <f t="shared" si="74"/>
        <v>0</v>
      </c>
      <c r="AA443" s="2" t="str">
        <f t="shared" si="75"/>
        <v/>
      </c>
      <c r="AB443" s="2" t="b">
        <f t="shared" si="76"/>
        <v>0</v>
      </c>
    </row>
    <row r="444" spans="1:28" x14ac:dyDescent="0.3">
      <c r="A444" s="2">
        <v>443</v>
      </c>
      <c r="B444" s="4"/>
      <c r="C444" s="4" t="s">
        <v>41</v>
      </c>
      <c r="D444" s="3"/>
      <c r="E444" s="3"/>
      <c r="F444" s="3"/>
      <c r="G444" s="3"/>
      <c r="H444" s="4"/>
      <c r="I444" s="4"/>
      <c r="J444" s="4"/>
      <c r="K444" s="4"/>
      <c r="L444" s="4"/>
      <c r="M444" s="4"/>
      <c r="N444" s="2" t="str">
        <f t="shared" si="66"/>
        <v/>
      </c>
      <c r="O444" s="2" t="str">
        <f t="shared" si="67"/>
        <v/>
      </c>
      <c r="P444" s="2" t="str">
        <f t="shared" si="68"/>
        <v/>
      </c>
      <c r="Q444" s="2" t="str">
        <f t="shared" si="69"/>
        <v/>
      </c>
      <c r="R444" s="2" t="str">
        <f t="shared" si="70"/>
        <v/>
      </c>
      <c r="S444" s="2" t="str">
        <f t="shared" si="71"/>
        <v/>
      </c>
      <c r="T444" s="2" t="str">
        <f t="shared" si="72"/>
        <v/>
      </c>
      <c r="U444" s="2" t="str">
        <f t="shared" si="73"/>
        <v/>
      </c>
      <c r="V444" s="2" t="b">
        <f t="shared" si="74"/>
        <v>0</v>
      </c>
      <c r="AA444" s="2" t="str">
        <f t="shared" si="75"/>
        <v/>
      </c>
      <c r="AB444" s="2" t="b">
        <f t="shared" si="76"/>
        <v>0</v>
      </c>
    </row>
    <row r="445" spans="1:28" x14ac:dyDescent="0.3">
      <c r="A445" s="2">
        <v>444</v>
      </c>
      <c r="B445" s="4"/>
      <c r="C445" s="4" t="s">
        <v>41</v>
      </c>
      <c r="D445" s="3"/>
      <c r="E445" s="3"/>
      <c r="F445" s="3"/>
      <c r="G445" s="3"/>
      <c r="H445" s="4"/>
      <c r="I445" s="4"/>
      <c r="J445" s="4"/>
      <c r="K445" s="4"/>
      <c r="L445" s="4"/>
      <c r="M445" s="4"/>
      <c r="N445" s="2" t="str">
        <f t="shared" si="66"/>
        <v/>
      </c>
      <c r="O445" s="2" t="str">
        <f t="shared" si="67"/>
        <v/>
      </c>
      <c r="P445" s="2" t="str">
        <f t="shared" si="68"/>
        <v/>
      </c>
      <c r="Q445" s="2" t="str">
        <f t="shared" si="69"/>
        <v/>
      </c>
      <c r="R445" s="2" t="str">
        <f t="shared" si="70"/>
        <v/>
      </c>
      <c r="S445" s="2" t="str">
        <f t="shared" si="71"/>
        <v/>
      </c>
      <c r="T445" s="2" t="str">
        <f t="shared" si="72"/>
        <v/>
      </c>
      <c r="U445" s="2" t="str">
        <f t="shared" si="73"/>
        <v/>
      </c>
      <c r="V445" s="2" t="b">
        <f t="shared" si="74"/>
        <v>0</v>
      </c>
      <c r="AA445" s="2" t="str">
        <f t="shared" si="75"/>
        <v/>
      </c>
      <c r="AB445" s="2" t="b">
        <f t="shared" si="76"/>
        <v>0</v>
      </c>
    </row>
    <row r="446" spans="1:28" x14ac:dyDescent="0.3">
      <c r="A446" s="2">
        <v>445</v>
      </c>
      <c r="B446" s="4"/>
      <c r="C446" s="4" t="s">
        <v>41</v>
      </c>
      <c r="D446" s="3"/>
      <c r="E446" s="3"/>
      <c r="F446" s="3"/>
      <c r="G446" s="3"/>
      <c r="H446" s="4"/>
      <c r="I446" s="4"/>
      <c r="J446" s="4"/>
      <c r="K446" s="4"/>
      <c r="L446" s="4"/>
      <c r="M446" s="4"/>
      <c r="N446" s="2" t="str">
        <f t="shared" si="66"/>
        <v/>
      </c>
      <c r="O446" s="2" t="str">
        <f t="shared" si="67"/>
        <v/>
      </c>
      <c r="P446" s="2" t="str">
        <f t="shared" si="68"/>
        <v/>
      </c>
      <c r="Q446" s="2" t="str">
        <f t="shared" si="69"/>
        <v/>
      </c>
      <c r="R446" s="2" t="str">
        <f t="shared" si="70"/>
        <v/>
      </c>
      <c r="S446" s="2" t="str">
        <f t="shared" si="71"/>
        <v/>
      </c>
      <c r="T446" s="2" t="str">
        <f t="shared" si="72"/>
        <v/>
      </c>
      <c r="U446" s="2" t="str">
        <f t="shared" si="73"/>
        <v/>
      </c>
      <c r="V446" s="2" t="b">
        <f t="shared" si="74"/>
        <v>0</v>
      </c>
      <c r="AA446" s="2" t="str">
        <f t="shared" si="75"/>
        <v/>
      </c>
      <c r="AB446" s="2" t="b">
        <f t="shared" si="76"/>
        <v>0</v>
      </c>
    </row>
    <row r="447" spans="1:28" x14ac:dyDescent="0.3">
      <c r="A447" s="2">
        <v>446</v>
      </c>
      <c r="B447" s="4"/>
      <c r="C447" s="4" t="s">
        <v>41</v>
      </c>
      <c r="D447" s="3"/>
      <c r="E447" s="3"/>
      <c r="F447" s="3"/>
      <c r="G447" s="3"/>
      <c r="H447" s="4"/>
      <c r="I447" s="4"/>
      <c r="J447" s="4"/>
      <c r="K447" s="4"/>
      <c r="L447" s="4"/>
      <c r="M447" s="4"/>
      <c r="N447" s="2" t="str">
        <f t="shared" si="66"/>
        <v/>
      </c>
      <c r="O447" s="2" t="str">
        <f t="shared" si="67"/>
        <v/>
      </c>
      <c r="P447" s="2" t="str">
        <f t="shared" si="68"/>
        <v/>
      </c>
      <c r="Q447" s="2" t="str">
        <f t="shared" si="69"/>
        <v/>
      </c>
      <c r="R447" s="2" t="str">
        <f t="shared" si="70"/>
        <v/>
      </c>
      <c r="S447" s="2" t="str">
        <f t="shared" si="71"/>
        <v/>
      </c>
      <c r="T447" s="2" t="str">
        <f t="shared" si="72"/>
        <v/>
      </c>
      <c r="U447" s="2" t="str">
        <f t="shared" si="73"/>
        <v/>
      </c>
      <c r="V447" s="2" t="b">
        <f t="shared" si="74"/>
        <v>0</v>
      </c>
      <c r="AA447" s="2" t="str">
        <f t="shared" si="75"/>
        <v/>
      </c>
      <c r="AB447" s="2" t="b">
        <f t="shared" si="76"/>
        <v>0</v>
      </c>
    </row>
    <row r="448" spans="1:28" x14ac:dyDescent="0.3">
      <c r="A448" s="2">
        <v>447</v>
      </c>
      <c r="B448" s="4"/>
      <c r="C448" s="4" t="s">
        <v>41</v>
      </c>
      <c r="D448" s="3"/>
      <c r="E448" s="3"/>
      <c r="F448" s="3"/>
      <c r="G448" s="3"/>
      <c r="H448" s="4"/>
      <c r="I448" s="4"/>
      <c r="J448" s="4"/>
      <c r="K448" s="4"/>
      <c r="L448" s="4"/>
      <c r="M448" s="4"/>
      <c r="N448" s="2" t="str">
        <f t="shared" si="66"/>
        <v/>
      </c>
      <c r="O448" s="2" t="str">
        <f t="shared" si="67"/>
        <v/>
      </c>
      <c r="P448" s="2" t="str">
        <f t="shared" si="68"/>
        <v/>
      </c>
      <c r="Q448" s="2" t="str">
        <f t="shared" si="69"/>
        <v/>
      </c>
      <c r="R448" s="2" t="str">
        <f t="shared" si="70"/>
        <v/>
      </c>
      <c r="S448" s="2" t="str">
        <f t="shared" si="71"/>
        <v/>
      </c>
      <c r="T448" s="2" t="str">
        <f t="shared" si="72"/>
        <v/>
      </c>
      <c r="U448" s="2" t="str">
        <f t="shared" si="73"/>
        <v/>
      </c>
      <c r="V448" s="2" t="b">
        <f t="shared" si="74"/>
        <v>0</v>
      </c>
      <c r="AA448" s="2" t="str">
        <f t="shared" si="75"/>
        <v/>
      </c>
      <c r="AB448" s="2" t="b">
        <f t="shared" si="76"/>
        <v>0</v>
      </c>
    </row>
    <row r="449" spans="1:28" x14ac:dyDescent="0.3">
      <c r="A449" s="2">
        <v>448</v>
      </c>
      <c r="B449" s="4"/>
      <c r="C449" s="4" t="s">
        <v>41</v>
      </c>
      <c r="D449" s="3"/>
      <c r="E449" s="3"/>
      <c r="F449" s="3"/>
      <c r="G449" s="3"/>
      <c r="H449" s="4"/>
      <c r="I449" s="4"/>
      <c r="J449" s="4"/>
      <c r="K449" s="4"/>
      <c r="L449" s="4"/>
      <c r="M449" s="4"/>
      <c r="N449" s="2" t="str">
        <f t="shared" si="66"/>
        <v/>
      </c>
      <c r="O449" s="2" t="str">
        <f t="shared" si="67"/>
        <v/>
      </c>
      <c r="P449" s="2" t="str">
        <f t="shared" si="68"/>
        <v/>
      </c>
      <c r="Q449" s="2" t="str">
        <f t="shared" si="69"/>
        <v/>
      </c>
      <c r="R449" s="2" t="str">
        <f t="shared" si="70"/>
        <v/>
      </c>
      <c r="S449" s="2" t="str">
        <f t="shared" si="71"/>
        <v/>
      </c>
      <c r="T449" s="2" t="str">
        <f t="shared" si="72"/>
        <v/>
      </c>
      <c r="U449" s="2" t="str">
        <f t="shared" si="73"/>
        <v/>
      </c>
      <c r="V449" s="2" t="b">
        <f t="shared" si="74"/>
        <v>0</v>
      </c>
      <c r="AA449" s="2" t="str">
        <f t="shared" si="75"/>
        <v/>
      </c>
      <c r="AB449" s="2" t="b">
        <f t="shared" si="76"/>
        <v>0</v>
      </c>
    </row>
    <row r="450" spans="1:28" x14ac:dyDescent="0.3">
      <c r="A450" s="2">
        <v>449</v>
      </c>
      <c r="B450" s="4"/>
      <c r="C450" s="4" t="s">
        <v>41</v>
      </c>
      <c r="D450" s="3"/>
      <c r="E450" s="3"/>
      <c r="F450" s="3"/>
      <c r="G450" s="3"/>
      <c r="H450" s="4"/>
      <c r="I450" s="4"/>
      <c r="J450" s="4"/>
      <c r="K450" s="4"/>
      <c r="L450" s="4"/>
      <c r="M450" s="4"/>
      <c r="N450" s="2" t="str">
        <f t="shared" ref="N450:N501" si="77">IF(OR(H450="",I450="",J450="",K450=""),"",(IF(H450&gt;I450,1,0)+IF(J450&gt;K450,1,0)+IF(AND(L450&lt;&gt;"",M450&lt;&gt;""),IF(L450&gt;M450,1,0),0)))</f>
        <v/>
      </c>
      <c r="O450" s="2" t="str">
        <f t="shared" ref="O450:O501" si="78">IF(N450="","",(IF(H450&lt;I450,1,0)+IF(J450&lt;K450,1,0)+IF(AND(L450&lt;&gt;"",M450&lt;&gt;""),IF(L450&lt;M450,1,0),0)))</f>
        <v/>
      </c>
      <c r="P450" s="2" t="str">
        <f t="shared" ref="P450:P501" si="79">IF(N450="","",IF(N450&gt;O450,"A","B"))</f>
        <v/>
      </c>
      <c r="Q450" s="2" t="str">
        <f t="shared" ref="Q450:Q501" si="80">IF(N450="","",H450+J450+IF(L450="",0,L450))</f>
        <v/>
      </c>
      <c r="R450" s="2" t="str">
        <f t="shared" ref="R450:R501" si="81">IF(N450="","",I450+K450+IF(M450="",0,M450))</f>
        <v/>
      </c>
      <c r="S450" s="2" t="str">
        <f t="shared" ref="S450:S501" si="82">IF(N450="","",Q450-R450)</f>
        <v/>
      </c>
      <c r="T450" s="2" t="str">
        <f t="shared" ref="T450:T501" si="83">IF(OR(C450&lt;&gt;$X$2,P450=""),"",MIN(MAX(0,S450)*$X$5,$X$6))</f>
        <v/>
      </c>
      <c r="U450" s="2" t="str">
        <f t="shared" ref="U450:U501" si="84">IF(OR(C450&lt;&gt;$X$2,P450=""),"",MIN(MAX(0,-S450)*$X$5,$X$6))</f>
        <v/>
      </c>
      <c r="V450" s="2" t="b">
        <f t="shared" ref="V450:V501" si="85">IF($Z$2="","",OR($D450=$Z$2,$E450=$Z$2,$F450=$Z$2,$G450=$Z$2))</f>
        <v>0</v>
      </c>
      <c r="AA450" s="2" t="str">
        <f t="shared" ref="AA450:AA501" si="86">IF($B450="","",YEAR($B450))</f>
        <v/>
      </c>
      <c r="AB450" s="2" t="b">
        <f t="shared" ref="AB450:AB501" si="87">IF($Z$5="Todas",TRUE,$AA450=$Z$5)</f>
        <v>0</v>
      </c>
    </row>
    <row r="451" spans="1:28" x14ac:dyDescent="0.3">
      <c r="A451" s="2">
        <v>450</v>
      </c>
      <c r="B451" s="4"/>
      <c r="C451" s="4" t="s">
        <v>41</v>
      </c>
      <c r="D451" s="3"/>
      <c r="E451" s="3"/>
      <c r="F451" s="3"/>
      <c r="G451" s="3"/>
      <c r="H451" s="4"/>
      <c r="I451" s="4"/>
      <c r="J451" s="4"/>
      <c r="K451" s="4"/>
      <c r="L451" s="4"/>
      <c r="M451" s="4"/>
      <c r="N451" s="2" t="str">
        <f t="shared" si="77"/>
        <v/>
      </c>
      <c r="O451" s="2" t="str">
        <f t="shared" si="78"/>
        <v/>
      </c>
      <c r="P451" s="2" t="str">
        <f t="shared" si="79"/>
        <v/>
      </c>
      <c r="Q451" s="2" t="str">
        <f t="shared" si="80"/>
        <v/>
      </c>
      <c r="R451" s="2" t="str">
        <f t="shared" si="81"/>
        <v/>
      </c>
      <c r="S451" s="2" t="str">
        <f t="shared" si="82"/>
        <v/>
      </c>
      <c r="T451" s="2" t="str">
        <f t="shared" si="83"/>
        <v/>
      </c>
      <c r="U451" s="2" t="str">
        <f t="shared" si="84"/>
        <v/>
      </c>
      <c r="V451" s="2" t="b">
        <f t="shared" si="85"/>
        <v>0</v>
      </c>
      <c r="AA451" s="2" t="str">
        <f t="shared" si="86"/>
        <v/>
      </c>
      <c r="AB451" s="2" t="b">
        <f t="shared" si="87"/>
        <v>0</v>
      </c>
    </row>
    <row r="452" spans="1:28" x14ac:dyDescent="0.3">
      <c r="A452" s="2">
        <v>451</v>
      </c>
      <c r="B452" s="4"/>
      <c r="C452" s="4" t="s">
        <v>41</v>
      </c>
      <c r="D452" s="3"/>
      <c r="E452" s="3"/>
      <c r="F452" s="3"/>
      <c r="G452" s="3"/>
      <c r="H452" s="4"/>
      <c r="I452" s="4"/>
      <c r="J452" s="4"/>
      <c r="K452" s="4"/>
      <c r="L452" s="4"/>
      <c r="M452" s="4"/>
      <c r="N452" s="2" t="str">
        <f t="shared" si="77"/>
        <v/>
      </c>
      <c r="O452" s="2" t="str">
        <f t="shared" si="78"/>
        <v/>
      </c>
      <c r="P452" s="2" t="str">
        <f t="shared" si="79"/>
        <v/>
      </c>
      <c r="Q452" s="2" t="str">
        <f t="shared" si="80"/>
        <v/>
      </c>
      <c r="R452" s="2" t="str">
        <f t="shared" si="81"/>
        <v/>
      </c>
      <c r="S452" s="2" t="str">
        <f t="shared" si="82"/>
        <v/>
      </c>
      <c r="T452" s="2" t="str">
        <f t="shared" si="83"/>
        <v/>
      </c>
      <c r="U452" s="2" t="str">
        <f t="shared" si="84"/>
        <v/>
      </c>
      <c r="V452" s="2" t="b">
        <f t="shared" si="85"/>
        <v>0</v>
      </c>
      <c r="AA452" s="2" t="str">
        <f t="shared" si="86"/>
        <v/>
      </c>
      <c r="AB452" s="2" t="b">
        <f t="shared" si="87"/>
        <v>0</v>
      </c>
    </row>
    <row r="453" spans="1:28" x14ac:dyDescent="0.3">
      <c r="A453" s="2">
        <v>452</v>
      </c>
      <c r="B453" s="4"/>
      <c r="C453" s="4" t="s">
        <v>41</v>
      </c>
      <c r="D453" s="3"/>
      <c r="E453" s="3"/>
      <c r="F453" s="3"/>
      <c r="G453" s="3"/>
      <c r="H453" s="4"/>
      <c r="I453" s="4"/>
      <c r="J453" s="4"/>
      <c r="K453" s="4"/>
      <c r="L453" s="4"/>
      <c r="M453" s="4"/>
      <c r="N453" s="2" t="str">
        <f t="shared" si="77"/>
        <v/>
      </c>
      <c r="O453" s="2" t="str">
        <f t="shared" si="78"/>
        <v/>
      </c>
      <c r="P453" s="2" t="str">
        <f t="shared" si="79"/>
        <v/>
      </c>
      <c r="Q453" s="2" t="str">
        <f t="shared" si="80"/>
        <v/>
      </c>
      <c r="R453" s="2" t="str">
        <f t="shared" si="81"/>
        <v/>
      </c>
      <c r="S453" s="2" t="str">
        <f t="shared" si="82"/>
        <v/>
      </c>
      <c r="T453" s="2" t="str">
        <f t="shared" si="83"/>
        <v/>
      </c>
      <c r="U453" s="2" t="str">
        <f t="shared" si="84"/>
        <v/>
      </c>
      <c r="V453" s="2" t="b">
        <f t="shared" si="85"/>
        <v>0</v>
      </c>
      <c r="AA453" s="2" t="str">
        <f t="shared" si="86"/>
        <v/>
      </c>
      <c r="AB453" s="2" t="b">
        <f t="shared" si="87"/>
        <v>0</v>
      </c>
    </row>
    <row r="454" spans="1:28" x14ac:dyDescent="0.3">
      <c r="A454" s="2">
        <v>453</v>
      </c>
      <c r="B454" s="4"/>
      <c r="C454" s="4" t="s">
        <v>41</v>
      </c>
      <c r="D454" s="3"/>
      <c r="E454" s="3"/>
      <c r="F454" s="3"/>
      <c r="G454" s="3"/>
      <c r="H454" s="4"/>
      <c r="I454" s="4"/>
      <c r="J454" s="4"/>
      <c r="K454" s="4"/>
      <c r="L454" s="4"/>
      <c r="M454" s="4"/>
      <c r="N454" s="2" t="str">
        <f t="shared" si="77"/>
        <v/>
      </c>
      <c r="O454" s="2" t="str">
        <f t="shared" si="78"/>
        <v/>
      </c>
      <c r="P454" s="2" t="str">
        <f t="shared" si="79"/>
        <v/>
      </c>
      <c r="Q454" s="2" t="str">
        <f t="shared" si="80"/>
        <v/>
      </c>
      <c r="R454" s="2" t="str">
        <f t="shared" si="81"/>
        <v/>
      </c>
      <c r="S454" s="2" t="str">
        <f t="shared" si="82"/>
        <v/>
      </c>
      <c r="T454" s="2" t="str">
        <f t="shared" si="83"/>
        <v/>
      </c>
      <c r="U454" s="2" t="str">
        <f t="shared" si="84"/>
        <v/>
      </c>
      <c r="V454" s="2" t="b">
        <f t="shared" si="85"/>
        <v>0</v>
      </c>
      <c r="AA454" s="2" t="str">
        <f t="shared" si="86"/>
        <v/>
      </c>
      <c r="AB454" s="2" t="b">
        <f t="shared" si="87"/>
        <v>0</v>
      </c>
    </row>
    <row r="455" spans="1:28" x14ac:dyDescent="0.3">
      <c r="A455" s="2">
        <v>454</v>
      </c>
      <c r="B455" s="4"/>
      <c r="C455" s="4" t="s">
        <v>41</v>
      </c>
      <c r="D455" s="3"/>
      <c r="E455" s="3"/>
      <c r="F455" s="3"/>
      <c r="G455" s="3"/>
      <c r="H455" s="4"/>
      <c r="I455" s="4"/>
      <c r="J455" s="4"/>
      <c r="K455" s="4"/>
      <c r="L455" s="4"/>
      <c r="M455" s="4"/>
      <c r="N455" s="2" t="str">
        <f t="shared" si="77"/>
        <v/>
      </c>
      <c r="O455" s="2" t="str">
        <f t="shared" si="78"/>
        <v/>
      </c>
      <c r="P455" s="2" t="str">
        <f t="shared" si="79"/>
        <v/>
      </c>
      <c r="Q455" s="2" t="str">
        <f t="shared" si="80"/>
        <v/>
      </c>
      <c r="R455" s="2" t="str">
        <f t="shared" si="81"/>
        <v/>
      </c>
      <c r="S455" s="2" t="str">
        <f t="shared" si="82"/>
        <v/>
      </c>
      <c r="T455" s="2" t="str">
        <f t="shared" si="83"/>
        <v/>
      </c>
      <c r="U455" s="2" t="str">
        <f t="shared" si="84"/>
        <v/>
      </c>
      <c r="V455" s="2" t="b">
        <f t="shared" si="85"/>
        <v>0</v>
      </c>
      <c r="AA455" s="2" t="str">
        <f t="shared" si="86"/>
        <v/>
      </c>
      <c r="AB455" s="2" t="b">
        <f t="shared" si="87"/>
        <v>0</v>
      </c>
    </row>
    <row r="456" spans="1:28" x14ac:dyDescent="0.3">
      <c r="A456" s="2">
        <v>455</v>
      </c>
      <c r="B456" s="4"/>
      <c r="C456" s="4" t="s">
        <v>41</v>
      </c>
      <c r="D456" s="3"/>
      <c r="E456" s="3"/>
      <c r="F456" s="3"/>
      <c r="G456" s="3"/>
      <c r="H456" s="4"/>
      <c r="I456" s="4"/>
      <c r="J456" s="4"/>
      <c r="K456" s="4"/>
      <c r="L456" s="4"/>
      <c r="M456" s="4"/>
      <c r="N456" s="2" t="str">
        <f t="shared" si="77"/>
        <v/>
      </c>
      <c r="O456" s="2" t="str">
        <f t="shared" si="78"/>
        <v/>
      </c>
      <c r="P456" s="2" t="str">
        <f t="shared" si="79"/>
        <v/>
      </c>
      <c r="Q456" s="2" t="str">
        <f t="shared" si="80"/>
        <v/>
      </c>
      <c r="R456" s="2" t="str">
        <f t="shared" si="81"/>
        <v/>
      </c>
      <c r="S456" s="2" t="str">
        <f t="shared" si="82"/>
        <v/>
      </c>
      <c r="T456" s="2" t="str">
        <f t="shared" si="83"/>
        <v/>
      </c>
      <c r="U456" s="2" t="str">
        <f t="shared" si="84"/>
        <v/>
      </c>
      <c r="V456" s="2" t="b">
        <f t="shared" si="85"/>
        <v>0</v>
      </c>
      <c r="AA456" s="2" t="str">
        <f t="shared" si="86"/>
        <v/>
      </c>
      <c r="AB456" s="2" t="b">
        <f t="shared" si="87"/>
        <v>0</v>
      </c>
    </row>
    <row r="457" spans="1:28" x14ac:dyDescent="0.3">
      <c r="A457" s="2">
        <v>456</v>
      </c>
      <c r="B457" s="4"/>
      <c r="C457" s="4" t="s">
        <v>41</v>
      </c>
      <c r="D457" s="3"/>
      <c r="E457" s="3"/>
      <c r="F457" s="3"/>
      <c r="G457" s="3"/>
      <c r="H457" s="4"/>
      <c r="I457" s="4"/>
      <c r="J457" s="4"/>
      <c r="K457" s="4"/>
      <c r="L457" s="4"/>
      <c r="M457" s="4"/>
      <c r="N457" s="2" t="str">
        <f t="shared" si="77"/>
        <v/>
      </c>
      <c r="O457" s="2" t="str">
        <f t="shared" si="78"/>
        <v/>
      </c>
      <c r="P457" s="2" t="str">
        <f t="shared" si="79"/>
        <v/>
      </c>
      <c r="Q457" s="2" t="str">
        <f t="shared" si="80"/>
        <v/>
      </c>
      <c r="R457" s="2" t="str">
        <f t="shared" si="81"/>
        <v/>
      </c>
      <c r="S457" s="2" t="str">
        <f t="shared" si="82"/>
        <v/>
      </c>
      <c r="T457" s="2" t="str">
        <f t="shared" si="83"/>
        <v/>
      </c>
      <c r="U457" s="2" t="str">
        <f t="shared" si="84"/>
        <v/>
      </c>
      <c r="V457" s="2" t="b">
        <f t="shared" si="85"/>
        <v>0</v>
      </c>
      <c r="AA457" s="2" t="str">
        <f t="shared" si="86"/>
        <v/>
      </c>
      <c r="AB457" s="2" t="b">
        <f t="shared" si="87"/>
        <v>0</v>
      </c>
    </row>
    <row r="458" spans="1:28" x14ac:dyDescent="0.3">
      <c r="A458" s="2">
        <v>457</v>
      </c>
      <c r="B458" s="4"/>
      <c r="C458" s="4" t="s">
        <v>41</v>
      </c>
      <c r="D458" s="3"/>
      <c r="E458" s="3"/>
      <c r="F458" s="3"/>
      <c r="G458" s="3"/>
      <c r="H458" s="4"/>
      <c r="I458" s="4"/>
      <c r="J458" s="4"/>
      <c r="K458" s="4"/>
      <c r="L458" s="4"/>
      <c r="M458" s="4"/>
      <c r="N458" s="2" t="str">
        <f t="shared" si="77"/>
        <v/>
      </c>
      <c r="O458" s="2" t="str">
        <f t="shared" si="78"/>
        <v/>
      </c>
      <c r="P458" s="2" t="str">
        <f t="shared" si="79"/>
        <v/>
      </c>
      <c r="Q458" s="2" t="str">
        <f t="shared" si="80"/>
        <v/>
      </c>
      <c r="R458" s="2" t="str">
        <f t="shared" si="81"/>
        <v/>
      </c>
      <c r="S458" s="2" t="str">
        <f t="shared" si="82"/>
        <v/>
      </c>
      <c r="T458" s="2" t="str">
        <f t="shared" si="83"/>
        <v/>
      </c>
      <c r="U458" s="2" t="str">
        <f t="shared" si="84"/>
        <v/>
      </c>
      <c r="V458" s="2" t="b">
        <f t="shared" si="85"/>
        <v>0</v>
      </c>
      <c r="AA458" s="2" t="str">
        <f t="shared" si="86"/>
        <v/>
      </c>
      <c r="AB458" s="2" t="b">
        <f t="shared" si="87"/>
        <v>0</v>
      </c>
    </row>
    <row r="459" spans="1:28" x14ac:dyDescent="0.3">
      <c r="A459" s="2">
        <v>458</v>
      </c>
      <c r="B459" s="4"/>
      <c r="C459" s="4" t="s">
        <v>41</v>
      </c>
      <c r="D459" s="3"/>
      <c r="E459" s="3"/>
      <c r="F459" s="3"/>
      <c r="G459" s="3"/>
      <c r="H459" s="4"/>
      <c r="I459" s="4"/>
      <c r="J459" s="4"/>
      <c r="K459" s="4"/>
      <c r="L459" s="4"/>
      <c r="M459" s="4"/>
      <c r="N459" s="2" t="str">
        <f t="shared" si="77"/>
        <v/>
      </c>
      <c r="O459" s="2" t="str">
        <f t="shared" si="78"/>
        <v/>
      </c>
      <c r="P459" s="2" t="str">
        <f t="shared" si="79"/>
        <v/>
      </c>
      <c r="Q459" s="2" t="str">
        <f t="shared" si="80"/>
        <v/>
      </c>
      <c r="R459" s="2" t="str">
        <f t="shared" si="81"/>
        <v/>
      </c>
      <c r="S459" s="2" t="str">
        <f t="shared" si="82"/>
        <v/>
      </c>
      <c r="T459" s="2" t="str">
        <f t="shared" si="83"/>
        <v/>
      </c>
      <c r="U459" s="2" t="str">
        <f t="shared" si="84"/>
        <v/>
      </c>
      <c r="V459" s="2" t="b">
        <f t="shared" si="85"/>
        <v>0</v>
      </c>
      <c r="AA459" s="2" t="str">
        <f t="shared" si="86"/>
        <v/>
      </c>
      <c r="AB459" s="2" t="b">
        <f t="shared" si="87"/>
        <v>0</v>
      </c>
    </row>
    <row r="460" spans="1:28" x14ac:dyDescent="0.3">
      <c r="A460" s="2">
        <v>459</v>
      </c>
      <c r="B460" s="4"/>
      <c r="C460" s="4" t="s">
        <v>41</v>
      </c>
      <c r="D460" s="3"/>
      <c r="E460" s="3"/>
      <c r="F460" s="3"/>
      <c r="G460" s="3"/>
      <c r="H460" s="4"/>
      <c r="I460" s="4"/>
      <c r="J460" s="4"/>
      <c r="K460" s="4"/>
      <c r="L460" s="4"/>
      <c r="M460" s="4"/>
      <c r="N460" s="2" t="str">
        <f t="shared" si="77"/>
        <v/>
      </c>
      <c r="O460" s="2" t="str">
        <f t="shared" si="78"/>
        <v/>
      </c>
      <c r="P460" s="2" t="str">
        <f t="shared" si="79"/>
        <v/>
      </c>
      <c r="Q460" s="2" t="str">
        <f t="shared" si="80"/>
        <v/>
      </c>
      <c r="R460" s="2" t="str">
        <f t="shared" si="81"/>
        <v/>
      </c>
      <c r="S460" s="2" t="str">
        <f t="shared" si="82"/>
        <v/>
      </c>
      <c r="T460" s="2" t="str">
        <f t="shared" si="83"/>
        <v/>
      </c>
      <c r="U460" s="2" t="str">
        <f t="shared" si="84"/>
        <v/>
      </c>
      <c r="V460" s="2" t="b">
        <f t="shared" si="85"/>
        <v>0</v>
      </c>
      <c r="AA460" s="2" t="str">
        <f t="shared" si="86"/>
        <v/>
      </c>
      <c r="AB460" s="2" t="b">
        <f t="shared" si="87"/>
        <v>0</v>
      </c>
    </row>
    <row r="461" spans="1:28" x14ac:dyDescent="0.3">
      <c r="A461" s="2">
        <v>460</v>
      </c>
      <c r="B461" s="4"/>
      <c r="C461" s="4" t="s">
        <v>41</v>
      </c>
      <c r="D461" s="3"/>
      <c r="E461" s="3"/>
      <c r="F461" s="3"/>
      <c r="G461" s="3"/>
      <c r="H461" s="4"/>
      <c r="I461" s="4"/>
      <c r="J461" s="4"/>
      <c r="K461" s="4"/>
      <c r="L461" s="4"/>
      <c r="M461" s="4"/>
      <c r="N461" s="2" t="str">
        <f t="shared" si="77"/>
        <v/>
      </c>
      <c r="O461" s="2" t="str">
        <f t="shared" si="78"/>
        <v/>
      </c>
      <c r="P461" s="2" t="str">
        <f t="shared" si="79"/>
        <v/>
      </c>
      <c r="Q461" s="2" t="str">
        <f t="shared" si="80"/>
        <v/>
      </c>
      <c r="R461" s="2" t="str">
        <f t="shared" si="81"/>
        <v/>
      </c>
      <c r="S461" s="2" t="str">
        <f t="shared" si="82"/>
        <v/>
      </c>
      <c r="T461" s="2" t="str">
        <f t="shared" si="83"/>
        <v/>
      </c>
      <c r="U461" s="2" t="str">
        <f t="shared" si="84"/>
        <v/>
      </c>
      <c r="V461" s="2" t="b">
        <f t="shared" si="85"/>
        <v>0</v>
      </c>
      <c r="AA461" s="2" t="str">
        <f t="shared" si="86"/>
        <v/>
      </c>
      <c r="AB461" s="2" t="b">
        <f t="shared" si="87"/>
        <v>0</v>
      </c>
    </row>
    <row r="462" spans="1:28" x14ac:dyDescent="0.3">
      <c r="A462" s="2">
        <v>461</v>
      </c>
      <c r="B462" s="4"/>
      <c r="C462" s="4" t="s">
        <v>41</v>
      </c>
      <c r="D462" s="3"/>
      <c r="E462" s="3"/>
      <c r="F462" s="3"/>
      <c r="G462" s="3"/>
      <c r="H462" s="4"/>
      <c r="I462" s="4"/>
      <c r="J462" s="4"/>
      <c r="K462" s="4"/>
      <c r="L462" s="4"/>
      <c r="M462" s="4"/>
      <c r="N462" s="2" t="str">
        <f t="shared" si="77"/>
        <v/>
      </c>
      <c r="O462" s="2" t="str">
        <f t="shared" si="78"/>
        <v/>
      </c>
      <c r="P462" s="2" t="str">
        <f t="shared" si="79"/>
        <v/>
      </c>
      <c r="Q462" s="2" t="str">
        <f t="shared" si="80"/>
        <v/>
      </c>
      <c r="R462" s="2" t="str">
        <f t="shared" si="81"/>
        <v/>
      </c>
      <c r="S462" s="2" t="str">
        <f t="shared" si="82"/>
        <v/>
      </c>
      <c r="T462" s="2" t="str">
        <f t="shared" si="83"/>
        <v/>
      </c>
      <c r="U462" s="2" t="str">
        <f t="shared" si="84"/>
        <v/>
      </c>
      <c r="V462" s="2" t="b">
        <f t="shared" si="85"/>
        <v>0</v>
      </c>
      <c r="AA462" s="2" t="str">
        <f t="shared" si="86"/>
        <v/>
      </c>
      <c r="AB462" s="2" t="b">
        <f t="shared" si="87"/>
        <v>0</v>
      </c>
    </row>
    <row r="463" spans="1:28" x14ac:dyDescent="0.3">
      <c r="A463" s="2">
        <v>462</v>
      </c>
      <c r="B463" s="4"/>
      <c r="C463" s="4" t="s">
        <v>41</v>
      </c>
      <c r="D463" s="3"/>
      <c r="E463" s="3"/>
      <c r="F463" s="3"/>
      <c r="G463" s="3"/>
      <c r="H463" s="4"/>
      <c r="I463" s="4"/>
      <c r="J463" s="4"/>
      <c r="K463" s="4"/>
      <c r="L463" s="4"/>
      <c r="M463" s="4"/>
      <c r="N463" s="2" t="str">
        <f t="shared" si="77"/>
        <v/>
      </c>
      <c r="O463" s="2" t="str">
        <f t="shared" si="78"/>
        <v/>
      </c>
      <c r="P463" s="2" t="str">
        <f t="shared" si="79"/>
        <v/>
      </c>
      <c r="Q463" s="2" t="str">
        <f t="shared" si="80"/>
        <v/>
      </c>
      <c r="R463" s="2" t="str">
        <f t="shared" si="81"/>
        <v/>
      </c>
      <c r="S463" s="2" t="str">
        <f t="shared" si="82"/>
        <v/>
      </c>
      <c r="T463" s="2" t="str">
        <f t="shared" si="83"/>
        <v/>
      </c>
      <c r="U463" s="2" t="str">
        <f t="shared" si="84"/>
        <v/>
      </c>
      <c r="V463" s="2" t="b">
        <f t="shared" si="85"/>
        <v>0</v>
      </c>
      <c r="AA463" s="2" t="str">
        <f t="shared" si="86"/>
        <v/>
      </c>
      <c r="AB463" s="2" t="b">
        <f t="shared" si="87"/>
        <v>0</v>
      </c>
    </row>
    <row r="464" spans="1:28" x14ac:dyDescent="0.3">
      <c r="A464" s="2">
        <v>463</v>
      </c>
      <c r="B464" s="4"/>
      <c r="C464" s="4" t="s">
        <v>41</v>
      </c>
      <c r="D464" s="3"/>
      <c r="E464" s="3"/>
      <c r="F464" s="3"/>
      <c r="G464" s="3"/>
      <c r="H464" s="4"/>
      <c r="I464" s="4"/>
      <c r="J464" s="4"/>
      <c r="K464" s="4"/>
      <c r="L464" s="4"/>
      <c r="M464" s="4"/>
      <c r="N464" s="2" t="str">
        <f t="shared" si="77"/>
        <v/>
      </c>
      <c r="O464" s="2" t="str">
        <f t="shared" si="78"/>
        <v/>
      </c>
      <c r="P464" s="2" t="str">
        <f t="shared" si="79"/>
        <v/>
      </c>
      <c r="Q464" s="2" t="str">
        <f t="shared" si="80"/>
        <v/>
      </c>
      <c r="R464" s="2" t="str">
        <f t="shared" si="81"/>
        <v/>
      </c>
      <c r="S464" s="2" t="str">
        <f t="shared" si="82"/>
        <v/>
      </c>
      <c r="T464" s="2" t="str">
        <f t="shared" si="83"/>
        <v/>
      </c>
      <c r="U464" s="2" t="str">
        <f t="shared" si="84"/>
        <v/>
      </c>
      <c r="V464" s="2" t="b">
        <f t="shared" si="85"/>
        <v>0</v>
      </c>
      <c r="AA464" s="2" t="str">
        <f t="shared" si="86"/>
        <v/>
      </c>
      <c r="AB464" s="2" t="b">
        <f t="shared" si="87"/>
        <v>0</v>
      </c>
    </row>
    <row r="465" spans="1:28" x14ac:dyDescent="0.3">
      <c r="A465" s="2">
        <v>464</v>
      </c>
      <c r="B465" s="4"/>
      <c r="C465" s="4" t="s">
        <v>41</v>
      </c>
      <c r="D465" s="3"/>
      <c r="E465" s="3"/>
      <c r="F465" s="3"/>
      <c r="G465" s="3"/>
      <c r="H465" s="4"/>
      <c r="I465" s="4"/>
      <c r="J465" s="4"/>
      <c r="K465" s="4"/>
      <c r="L465" s="4"/>
      <c r="M465" s="4"/>
      <c r="N465" s="2" t="str">
        <f t="shared" si="77"/>
        <v/>
      </c>
      <c r="O465" s="2" t="str">
        <f t="shared" si="78"/>
        <v/>
      </c>
      <c r="P465" s="2" t="str">
        <f t="shared" si="79"/>
        <v/>
      </c>
      <c r="Q465" s="2" t="str">
        <f t="shared" si="80"/>
        <v/>
      </c>
      <c r="R465" s="2" t="str">
        <f t="shared" si="81"/>
        <v/>
      </c>
      <c r="S465" s="2" t="str">
        <f t="shared" si="82"/>
        <v/>
      </c>
      <c r="T465" s="2" t="str">
        <f t="shared" si="83"/>
        <v/>
      </c>
      <c r="U465" s="2" t="str">
        <f t="shared" si="84"/>
        <v/>
      </c>
      <c r="V465" s="2" t="b">
        <f t="shared" si="85"/>
        <v>0</v>
      </c>
      <c r="AA465" s="2" t="str">
        <f t="shared" si="86"/>
        <v/>
      </c>
      <c r="AB465" s="2" t="b">
        <f t="shared" si="87"/>
        <v>0</v>
      </c>
    </row>
    <row r="466" spans="1:28" x14ac:dyDescent="0.3">
      <c r="A466" s="2">
        <v>465</v>
      </c>
      <c r="B466" s="4"/>
      <c r="C466" s="4" t="s">
        <v>41</v>
      </c>
      <c r="D466" s="3"/>
      <c r="E466" s="3"/>
      <c r="F466" s="3"/>
      <c r="G466" s="3"/>
      <c r="H466" s="4"/>
      <c r="I466" s="4"/>
      <c r="J466" s="4"/>
      <c r="K466" s="4"/>
      <c r="L466" s="4"/>
      <c r="M466" s="4"/>
      <c r="N466" s="2" t="str">
        <f t="shared" si="77"/>
        <v/>
      </c>
      <c r="O466" s="2" t="str">
        <f t="shared" si="78"/>
        <v/>
      </c>
      <c r="P466" s="2" t="str">
        <f t="shared" si="79"/>
        <v/>
      </c>
      <c r="Q466" s="2" t="str">
        <f t="shared" si="80"/>
        <v/>
      </c>
      <c r="R466" s="2" t="str">
        <f t="shared" si="81"/>
        <v/>
      </c>
      <c r="S466" s="2" t="str">
        <f t="shared" si="82"/>
        <v/>
      </c>
      <c r="T466" s="2" t="str">
        <f t="shared" si="83"/>
        <v/>
      </c>
      <c r="U466" s="2" t="str">
        <f t="shared" si="84"/>
        <v/>
      </c>
      <c r="V466" s="2" t="b">
        <f t="shared" si="85"/>
        <v>0</v>
      </c>
      <c r="AA466" s="2" t="str">
        <f t="shared" si="86"/>
        <v/>
      </c>
      <c r="AB466" s="2" t="b">
        <f t="shared" si="87"/>
        <v>0</v>
      </c>
    </row>
    <row r="467" spans="1:28" x14ac:dyDescent="0.3">
      <c r="A467" s="2">
        <v>466</v>
      </c>
      <c r="B467" s="4"/>
      <c r="C467" s="4" t="s">
        <v>41</v>
      </c>
      <c r="D467" s="3"/>
      <c r="E467" s="3"/>
      <c r="F467" s="3"/>
      <c r="G467" s="3"/>
      <c r="H467" s="4"/>
      <c r="I467" s="4"/>
      <c r="J467" s="4"/>
      <c r="K467" s="4"/>
      <c r="L467" s="4"/>
      <c r="M467" s="4"/>
      <c r="N467" s="2" t="str">
        <f t="shared" si="77"/>
        <v/>
      </c>
      <c r="O467" s="2" t="str">
        <f t="shared" si="78"/>
        <v/>
      </c>
      <c r="P467" s="2" t="str">
        <f t="shared" si="79"/>
        <v/>
      </c>
      <c r="Q467" s="2" t="str">
        <f t="shared" si="80"/>
        <v/>
      </c>
      <c r="R467" s="2" t="str">
        <f t="shared" si="81"/>
        <v/>
      </c>
      <c r="S467" s="2" t="str">
        <f t="shared" si="82"/>
        <v/>
      </c>
      <c r="T467" s="2" t="str">
        <f t="shared" si="83"/>
        <v/>
      </c>
      <c r="U467" s="2" t="str">
        <f t="shared" si="84"/>
        <v/>
      </c>
      <c r="V467" s="2" t="b">
        <f t="shared" si="85"/>
        <v>0</v>
      </c>
      <c r="AA467" s="2" t="str">
        <f t="shared" si="86"/>
        <v/>
      </c>
      <c r="AB467" s="2" t="b">
        <f t="shared" si="87"/>
        <v>0</v>
      </c>
    </row>
    <row r="468" spans="1:28" x14ac:dyDescent="0.3">
      <c r="A468" s="2">
        <v>467</v>
      </c>
      <c r="B468" s="4"/>
      <c r="C468" s="4" t="s">
        <v>41</v>
      </c>
      <c r="D468" s="3"/>
      <c r="E468" s="3"/>
      <c r="F468" s="3"/>
      <c r="G468" s="3"/>
      <c r="H468" s="4"/>
      <c r="I468" s="4"/>
      <c r="J468" s="4"/>
      <c r="K468" s="4"/>
      <c r="L468" s="4"/>
      <c r="M468" s="4"/>
      <c r="N468" s="2" t="str">
        <f t="shared" si="77"/>
        <v/>
      </c>
      <c r="O468" s="2" t="str">
        <f t="shared" si="78"/>
        <v/>
      </c>
      <c r="P468" s="2" t="str">
        <f t="shared" si="79"/>
        <v/>
      </c>
      <c r="Q468" s="2" t="str">
        <f t="shared" si="80"/>
        <v/>
      </c>
      <c r="R468" s="2" t="str">
        <f t="shared" si="81"/>
        <v/>
      </c>
      <c r="S468" s="2" t="str">
        <f t="shared" si="82"/>
        <v/>
      </c>
      <c r="T468" s="2" t="str">
        <f t="shared" si="83"/>
        <v/>
      </c>
      <c r="U468" s="2" t="str">
        <f t="shared" si="84"/>
        <v/>
      </c>
      <c r="V468" s="2" t="b">
        <f t="shared" si="85"/>
        <v>0</v>
      </c>
      <c r="AA468" s="2" t="str">
        <f t="shared" si="86"/>
        <v/>
      </c>
      <c r="AB468" s="2" t="b">
        <f t="shared" si="87"/>
        <v>0</v>
      </c>
    </row>
    <row r="469" spans="1:28" x14ac:dyDescent="0.3">
      <c r="A469" s="2">
        <v>468</v>
      </c>
      <c r="B469" s="4"/>
      <c r="C469" s="4" t="s">
        <v>41</v>
      </c>
      <c r="D469" s="3"/>
      <c r="E469" s="3"/>
      <c r="F469" s="3"/>
      <c r="G469" s="3"/>
      <c r="H469" s="4"/>
      <c r="I469" s="4"/>
      <c r="J469" s="4"/>
      <c r="K469" s="4"/>
      <c r="L469" s="4"/>
      <c r="M469" s="4"/>
      <c r="N469" s="2" t="str">
        <f t="shared" si="77"/>
        <v/>
      </c>
      <c r="O469" s="2" t="str">
        <f t="shared" si="78"/>
        <v/>
      </c>
      <c r="P469" s="2" t="str">
        <f t="shared" si="79"/>
        <v/>
      </c>
      <c r="Q469" s="2" t="str">
        <f t="shared" si="80"/>
        <v/>
      </c>
      <c r="R469" s="2" t="str">
        <f t="shared" si="81"/>
        <v/>
      </c>
      <c r="S469" s="2" t="str">
        <f t="shared" si="82"/>
        <v/>
      </c>
      <c r="T469" s="2" t="str">
        <f t="shared" si="83"/>
        <v/>
      </c>
      <c r="U469" s="2" t="str">
        <f t="shared" si="84"/>
        <v/>
      </c>
      <c r="V469" s="2" t="b">
        <f t="shared" si="85"/>
        <v>0</v>
      </c>
      <c r="AA469" s="2" t="str">
        <f t="shared" si="86"/>
        <v/>
      </c>
      <c r="AB469" s="2" t="b">
        <f t="shared" si="87"/>
        <v>0</v>
      </c>
    </row>
    <row r="470" spans="1:28" x14ac:dyDescent="0.3">
      <c r="A470" s="2">
        <v>469</v>
      </c>
      <c r="B470" s="4"/>
      <c r="C470" s="4" t="s">
        <v>41</v>
      </c>
      <c r="D470" s="3"/>
      <c r="E470" s="3"/>
      <c r="F470" s="3"/>
      <c r="G470" s="3"/>
      <c r="H470" s="4"/>
      <c r="I470" s="4"/>
      <c r="J470" s="4"/>
      <c r="K470" s="4"/>
      <c r="L470" s="4"/>
      <c r="M470" s="4"/>
      <c r="N470" s="2" t="str">
        <f t="shared" si="77"/>
        <v/>
      </c>
      <c r="O470" s="2" t="str">
        <f t="shared" si="78"/>
        <v/>
      </c>
      <c r="P470" s="2" t="str">
        <f t="shared" si="79"/>
        <v/>
      </c>
      <c r="Q470" s="2" t="str">
        <f t="shared" si="80"/>
        <v/>
      </c>
      <c r="R470" s="2" t="str">
        <f t="shared" si="81"/>
        <v/>
      </c>
      <c r="S470" s="2" t="str">
        <f t="shared" si="82"/>
        <v/>
      </c>
      <c r="T470" s="2" t="str">
        <f t="shared" si="83"/>
        <v/>
      </c>
      <c r="U470" s="2" t="str">
        <f t="shared" si="84"/>
        <v/>
      </c>
      <c r="V470" s="2" t="b">
        <f t="shared" si="85"/>
        <v>0</v>
      </c>
      <c r="AA470" s="2" t="str">
        <f t="shared" si="86"/>
        <v/>
      </c>
      <c r="AB470" s="2" t="b">
        <f t="shared" si="87"/>
        <v>0</v>
      </c>
    </row>
    <row r="471" spans="1:28" x14ac:dyDescent="0.3">
      <c r="A471" s="2">
        <v>470</v>
      </c>
      <c r="B471" s="4"/>
      <c r="C471" s="4" t="s">
        <v>41</v>
      </c>
      <c r="D471" s="3"/>
      <c r="E471" s="3"/>
      <c r="F471" s="3"/>
      <c r="G471" s="3"/>
      <c r="H471" s="4"/>
      <c r="I471" s="4"/>
      <c r="J471" s="4"/>
      <c r="K471" s="4"/>
      <c r="L471" s="4"/>
      <c r="M471" s="4"/>
      <c r="N471" s="2" t="str">
        <f t="shared" si="77"/>
        <v/>
      </c>
      <c r="O471" s="2" t="str">
        <f t="shared" si="78"/>
        <v/>
      </c>
      <c r="P471" s="2" t="str">
        <f t="shared" si="79"/>
        <v/>
      </c>
      <c r="Q471" s="2" t="str">
        <f t="shared" si="80"/>
        <v/>
      </c>
      <c r="R471" s="2" t="str">
        <f t="shared" si="81"/>
        <v/>
      </c>
      <c r="S471" s="2" t="str">
        <f t="shared" si="82"/>
        <v/>
      </c>
      <c r="T471" s="2" t="str">
        <f t="shared" si="83"/>
        <v/>
      </c>
      <c r="U471" s="2" t="str">
        <f t="shared" si="84"/>
        <v/>
      </c>
      <c r="V471" s="2" t="b">
        <f t="shared" si="85"/>
        <v>0</v>
      </c>
      <c r="AA471" s="2" t="str">
        <f t="shared" si="86"/>
        <v/>
      </c>
      <c r="AB471" s="2" t="b">
        <f t="shared" si="87"/>
        <v>0</v>
      </c>
    </row>
    <row r="472" spans="1:28" x14ac:dyDescent="0.3">
      <c r="A472" s="2">
        <v>471</v>
      </c>
      <c r="B472" s="4"/>
      <c r="C472" s="4" t="s">
        <v>41</v>
      </c>
      <c r="D472" s="3"/>
      <c r="E472" s="3"/>
      <c r="F472" s="3"/>
      <c r="G472" s="3"/>
      <c r="H472" s="4"/>
      <c r="I472" s="4"/>
      <c r="J472" s="4"/>
      <c r="K472" s="4"/>
      <c r="L472" s="4"/>
      <c r="M472" s="4"/>
      <c r="N472" s="2" t="str">
        <f t="shared" si="77"/>
        <v/>
      </c>
      <c r="O472" s="2" t="str">
        <f t="shared" si="78"/>
        <v/>
      </c>
      <c r="P472" s="2" t="str">
        <f t="shared" si="79"/>
        <v/>
      </c>
      <c r="Q472" s="2" t="str">
        <f t="shared" si="80"/>
        <v/>
      </c>
      <c r="R472" s="2" t="str">
        <f t="shared" si="81"/>
        <v/>
      </c>
      <c r="S472" s="2" t="str">
        <f t="shared" si="82"/>
        <v/>
      </c>
      <c r="T472" s="2" t="str">
        <f t="shared" si="83"/>
        <v/>
      </c>
      <c r="U472" s="2" t="str">
        <f t="shared" si="84"/>
        <v/>
      </c>
      <c r="V472" s="2" t="b">
        <f t="shared" si="85"/>
        <v>0</v>
      </c>
      <c r="AA472" s="2" t="str">
        <f t="shared" si="86"/>
        <v/>
      </c>
      <c r="AB472" s="2" t="b">
        <f t="shared" si="87"/>
        <v>0</v>
      </c>
    </row>
    <row r="473" spans="1:28" x14ac:dyDescent="0.3">
      <c r="A473" s="2">
        <v>472</v>
      </c>
      <c r="B473" s="4"/>
      <c r="C473" s="4" t="s">
        <v>41</v>
      </c>
      <c r="D473" s="3"/>
      <c r="E473" s="3"/>
      <c r="F473" s="3"/>
      <c r="G473" s="3"/>
      <c r="H473" s="4"/>
      <c r="I473" s="4"/>
      <c r="J473" s="4"/>
      <c r="K473" s="4"/>
      <c r="L473" s="4"/>
      <c r="M473" s="4"/>
      <c r="N473" s="2" t="str">
        <f t="shared" si="77"/>
        <v/>
      </c>
      <c r="O473" s="2" t="str">
        <f t="shared" si="78"/>
        <v/>
      </c>
      <c r="P473" s="2" t="str">
        <f t="shared" si="79"/>
        <v/>
      </c>
      <c r="Q473" s="2" t="str">
        <f t="shared" si="80"/>
        <v/>
      </c>
      <c r="R473" s="2" t="str">
        <f t="shared" si="81"/>
        <v/>
      </c>
      <c r="S473" s="2" t="str">
        <f t="shared" si="82"/>
        <v/>
      </c>
      <c r="T473" s="2" t="str">
        <f t="shared" si="83"/>
        <v/>
      </c>
      <c r="U473" s="2" t="str">
        <f t="shared" si="84"/>
        <v/>
      </c>
      <c r="V473" s="2" t="b">
        <f t="shared" si="85"/>
        <v>0</v>
      </c>
      <c r="AA473" s="2" t="str">
        <f t="shared" si="86"/>
        <v/>
      </c>
      <c r="AB473" s="2" t="b">
        <f t="shared" si="87"/>
        <v>0</v>
      </c>
    </row>
    <row r="474" spans="1:28" x14ac:dyDescent="0.3">
      <c r="A474" s="2">
        <v>473</v>
      </c>
      <c r="B474" s="4"/>
      <c r="C474" s="4" t="s">
        <v>41</v>
      </c>
      <c r="D474" s="3"/>
      <c r="E474" s="3"/>
      <c r="F474" s="3"/>
      <c r="G474" s="3"/>
      <c r="H474" s="4"/>
      <c r="I474" s="4"/>
      <c r="J474" s="4"/>
      <c r="K474" s="4"/>
      <c r="L474" s="4"/>
      <c r="M474" s="4"/>
      <c r="N474" s="2" t="str">
        <f t="shared" si="77"/>
        <v/>
      </c>
      <c r="O474" s="2" t="str">
        <f t="shared" si="78"/>
        <v/>
      </c>
      <c r="P474" s="2" t="str">
        <f t="shared" si="79"/>
        <v/>
      </c>
      <c r="Q474" s="2" t="str">
        <f t="shared" si="80"/>
        <v/>
      </c>
      <c r="R474" s="2" t="str">
        <f t="shared" si="81"/>
        <v/>
      </c>
      <c r="S474" s="2" t="str">
        <f t="shared" si="82"/>
        <v/>
      </c>
      <c r="T474" s="2" t="str">
        <f t="shared" si="83"/>
        <v/>
      </c>
      <c r="U474" s="2" t="str">
        <f t="shared" si="84"/>
        <v/>
      </c>
      <c r="V474" s="2" t="b">
        <f t="shared" si="85"/>
        <v>0</v>
      </c>
      <c r="AA474" s="2" t="str">
        <f t="shared" si="86"/>
        <v/>
      </c>
      <c r="AB474" s="2" t="b">
        <f t="shared" si="87"/>
        <v>0</v>
      </c>
    </row>
    <row r="475" spans="1:28" x14ac:dyDescent="0.3">
      <c r="A475" s="2">
        <v>474</v>
      </c>
      <c r="B475" s="4"/>
      <c r="C475" s="4" t="s">
        <v>41</v>
      </c>
      <c r="D475" s="3"/>
      <c r="E475" s="3"/>
      <c r="F475" s="3"/>
      <c r="G475" s="3"/>
      <c r="H475" s="4"/>
      <c r="I475" s="4"/>
      <c r="J475" s="4"/>
      <c r="K475" s="4"/>
      <c r="L475" s="4"/>
      <c r="M475" s="4"/>
      <c r="N475" s="2" t="str">
        <f t="shared" si="77"/>
        <v/>
      </c>
      <c r="O475" s="2" t="str">
        <f t="shared" si="78"/>
        <v/>
      </c>
      <c r="P475" s="2" t="str">
        <f t="shared" si="79"/>
        <v/>
      </c>
      <c r="Q475" s="2" t="str">
        <f t="shared" si="80"/>
        <v/>
      </c>
      <c r="R475" s="2" t="str">
        <f t="shared" si="81"/>
        <v/>
      </c>
      <c r="S475" s="2" t="str">
        <f t="shared" si="82"/>
        <v/>
      </c>
      <c r="T475" s="2" t="str">
        <f t="shared" si="83"/>
        <v/>
      </c>
      <c r="U475" s="2" t="str">
        <f t="shared" si="84"/>
        <v/>
      </c>
      <c r="V475" s="2" t="b">
        <f t="shared" si="85"/>
        <v>0</v>
      </c>
      <c r="AA475" s="2" t="str">
        <f t="shared" si="86"/>
        <v/>
      </c>
      <c r="AB475" s="2" t="b">
        <f t="shared" si="87"/>
        <v>0</v>
      </c>
    </row>
    <row r="476" spans="1:28" x14ac:dyDescent="0.3">
      <c r="A476" s="2">
        <v>475</v>
      </c>
      <c r="B476" s="4"/>
      <c r="C476" s="4" t="s">
        <v>41</v>
      </c>
      <c r="D476" s="3"/>
      <c r="E476" s="3"/>
      <c r="F476" s="3"/>
      <c r="G476" s="3"/>
      <c r="H476" s="4"/>
      <c r="I476" s="4"/>
      <c r="J476" s="4"/>
      <c r="K476" s="4"/>
      <c r="L476" s="4"/>
      <c r="M476" s="4"/>
      <c r="N476" s="2" t="str">
        <f t="shared" si="77"/>
        <v/>
      </c>
      <c r="O476" s="2" t="str">
        <f t="shared" si="78"/>
        <v/>
      </c>
      <c r="P476" s="2" t="str">
        <f t="shared" si="79"/>
        <v/>
      </c>
      <c r="Q476" s="2" t="str">
        <f t="shared" si="80"/>
        <v/>
      </c>
      <c r="R476" s="2" t="str">
        <f t="shared" si="81"/>
        <v/>
      </c>
      <c r="S476" s="2" t="str">
        <f t="shared" si="82"/>
        <v/>
      </c>
      <c r="T476" s="2" t="str">
        <f t="shared" si="83"/>
        <v/>
      </c>
      <c r="U476" s="2" t="str">
        <f t="shared" si="84"/>
        <v/>
      </c>
      <c r="V476" s="2" t="b">
        <f t="shared" si="85"/>
        <v>0</v>
      </c>
      <c r="AA476" s="2" t="str">
        <f t="shared" si="86"/>
        <v/>
      </c>
      <c r="AB476" s="2" t="b">
        <f t="shared" si="87"/>
        <v>0</v>
      </c>
    </row>
    <row r="477" spans="1:28" x14ac:dyDescent="0.3">
      <c r="A477" s="2">
        <v>476</v>
      </c>
      <c r="B477" s="4"/>
      <c r="C477" s="4" t="s">
        <v>41</v>
      </c>
      <c r="D477" s="3"/>
      <c r="E477" s="3"/>
      <c r="F477" s="3"/>
      <c r="G477" s="3"/>
      <c r="H477" s="4"/>
      <c r="I477" s="4"/>
      <c r="J477" s="4"/>
      <c r="K477" s="4"/>
      <c r="L477" s="4"/>
      <c r="M477" s="4"/>
      <c r="N477" s="2" t="str">
        <f t="shared" si="77"/>
        <v/>
      </c>
      <c r="O477" s="2" t="str">
        <f t="shared" si="78"/>
        <v/>
      </c>
      <c r="P477" s="2" t="str">
        <f t="shared" si="79"/>
        <v/>
      </c>
      <c r="Q477" s="2" t="str">
        <f t="shared" si="80"/>
        <v/>
      </c>
      <c r="R477" s="2" t="str">
        <f t="shared" si="81"/>
        <v/>
      </c>
      <c r="S477" s="2" t="str">
        <f t="shared" si="82"/>
        <v/>
      </c>
      <c r="T477" s="2" t="str">
        <f t="shared" si="83"/>
        <v/>
      </c>
      <c r="U477" s="2" t="str">
        <f t="shared" si="84"/>
        <v/>
      </c>
      <c r="V477" s="2" t="b">
        <f t="shared" si="85"/>
        <v>0</v>
      </c>
      <c r="AA477" s="2" t="str">
        <f t="shared" si="86"/>
        <v/>
      </c>
      <c r="AB477" s="2" t="b">
        <f t="shared" si="87"/>
        <v>0</v>
      </c>
    </row>
    <row r="478" spans="1:28" x14ac:dyDescent="0.3">
      <c r="A478" s="2">
        <v>477</v>
      </c>
      <c r="B478" s="4"/>
      <c r="C478" s="4" t="s">
        <v>41</v>
      </c>
      <c r="D478" s="3"/>
      <c r="E478" s="3"/>
      <c r="F478" s="3"/>
      <c r="G478" s="3"/>
      <c r="H478" s="4"/>
      <c r="I478" s="4"/>
      <c r="J478" s="4"/>
      <c r="K478" s="4"/>
      <c r="L478" s="4"/>
      <c r="M478" s="4"/>
      <c r="N478" s="2" t="str">
        <f t="shared" si="77"/>
        <v/>
      </c>
      <c r="O478" s="2" t="str">
        <f t="shared" si="78"/>
        <v/>
      </c>
      <c r="P478" s="2" t="str">
        <f t="shared" si="79"/>
        <v/>
      </c>
      <c r="Q478" s="2" t="str">
        <f t="shared" si="80"/>
        <v/>
      </c>
      <c r="R478" s="2" t="str">
        <f t="shared" si="81"/>
        <v/>
      </c>
      <c r="S478" s="2" t="str">
        <f t="shared" si="82"/>
        <v/>
      </c>
      <c r="T478" s="2" t="str">
        <f t="shared" si="83"/>
        <v/>
      </c>
      <c r="U478" s="2" t="str">
        <f t="shared" si="84"/>
        <v/>
      </c>
      <c r="V478" s="2" t="b">
        <f t="shared" si="85"/>
        <v>0</v>
      </c>
      <c r="AA478" s="2" t="str">
        <f t="shared" si="86"/>
        <v/>
      </c>
      <c r="AB478" s="2" t="b">
        <f t="shared" si="87"/>
        <v>0</v>
      </c>
    </row>
    <row r="479" spans="1:28" x14ac:dyDescent="0.3">
      <c r="A479" s="2">
        <v>478</v>
      </c>
      <c r="B479" s="4"/>
      <c r="C479" s="4" t="s">
        <v>41</v>
      </c>
      <c r="D479" s="3"/>
      <c r="E479" s="3"/>
      <c r="F479" s="3"/>
      <c r="G479" s="3"/>
      <c r="H479" s="4"/>
      <c r="I479" s="4"/>
      <c r="J479" s="4"/>
      <c r="K479" s="4"/>
      <c r="L479" s="4"/>
      <c r="M479" s="4"/>
      <c r="N479" s="2" t="str">
        <f t="shared" si="77"/>
        <v/>
      </c>
      <c r="O479" s="2" t="str">
        <f t="shared" si="78"/>
        <v/>
      </c>
      <c r="P479" s="2" t="str">
        <f t="shared" si="79"/>
        <v/>
      </c>
      <c r="Q479" s="2" t="str">
        <f t="shared" si="80"/>
        <v/>
      </c>
      <c r="R479" s="2" t="str">
        <f t="shared" si="81"/>
        <v/>
      </c>
      <c r="S479" s="2" t="str">
        <f t="shared" si="82"/>
        <v/>
      </c>
      <c r="T479" s="2" t="str">
        <f t="shared" si="83"/>
        <v/>
      </c>
      <c r="U479" s="2" t="str">
        <f t="shared" si="84"/>
        <v/>
      </c>
      <c r="V479" s="2" t="b">
        <f t="shared" si="85"/>
        <v>0</v>
      </c>
      <c r="AA479" s="2" t="str">
        <f t="shared" si="86"/>
        <v/>
      </c>
      <c r="AB479" s="2" t="b">
        <f t="shared" si="87"/>
        <v>0</v>
      </c>
    </row>
    <row r="480" spans="1:28" x14ac:dyDescent="0.3">
      <c r="A480" s="2">
        <v>479</v>
      </c>
      <c r="B480" s="4"/>
      <c r="C480" s="4" t="s">
        <v>41</v>
      </c>
      <c r="D480" s="3"/>
      <c r="E480" s="3"/>
      <c r="F480" s="3"/>
      <c r="G480" s="3"/>
      <c r="H480" s="4"/>
      <c r="I480" s="4"/>
      <c r="J480" s="4"/>
      <c r="K480" s="4"/>
      <c r="L480" s="4"/>
      <c r="M480" s="4"/>
      <c r="N480" s="2" t="str">
        <f t="shared" si="77"/>
        <v/>
      </c>
      <c r="O480" s="2" t="str">
        <f t="shared" si="78"/>
        <v/>
      </c>
      <c r="P480" s="2" t="str">
        <f t="shared" si="79"/>
        <v/>
      </c>
      <c r="Q480" s="2" t="str">
        <f t="shared" si="80"/>
        <v/>
      </c>
      <c r="R480" s="2" t="str">
        <f t="shared" si="81"/>
        <v/>
      </c>
      <c r="S480" s="2" t="str">
        <f t="shared" si="82"/>
        <v/>
      </c>
      <c r="T480" s="2" t="str">
        <f t="shared" si="83"/>
        <v/>
      </c>
      <c r="U480" s="2" t="str">
        <f t="shared" si="84"/>
        <v/>
      </c>
      <c r="V480" s="2" t="b">
        <f t="shared" si="85"/>
        <v>0</v>
      </c>
      <c r="AA480" s="2" t="str">
        <f t="shared" si="86"/>
        <v/>
      </c>
      <c r="AB480" s="2" t="b">
        <f t="shared" si="87"/>
        <v>0</v>
      </c>
    </row>
    <row r="481" spans="1:28" x14ac:dyDescent="0.3">
      <c r="A481" s="2">
        <v>480</v>
      </c>
      <c r="B481" s="4"/>
      <c r="C481" s="4" t="s">
        <v>41</v>
      </c>
      <c r="D481" s="3"/>
      <c r="E481" s="3"/>
      <c r="F481" s="3"/>
      <c r="G481" s="3"/>
      <c r="H481" s="4"/>
      <c r="I481" s="4"/>
      <c r="J481" s="4"/>
      <c r="K481" s="4"/>
      <c r="L481" s="4"/>
      <c r="M481" s="4"/>
      <c r="N481" s="2" t="str">
        <f t="shared" si="77"/>
        <v/>
      </c>
      <c r="O481" s="2" t="str">
        <f t="shared" si="78"/>
        <v/>
      </c>
      <c r="P481" s="2" t="str">
        <f t="shared" si="79"/>
        <v/>
      </c>
      <c r="Q481" s="2" t="str">
        <f t="shared" si="80"/>
        <v/>
      </c>
      <c r="R481" s="2" t="str">
        <f t="shared" si="81"/>
        <v/>
      </c>
      <c r="S481" s="2" t="str">
        <f t="shared" si="82"/>
        <v/>
      </c>
      <c r="T481" s="2" t="str">
        <f t="shared" si="83"/>
        <v/>
      </c>
      <c r="U481" s="2" t="str">
        <f t="shared" si="84"/>
        <v/>
      </c>
      <c r="V481" s="2" t="b">
        <f t="shared" si="85"/>
        <v>0</v>
      </c>
      <c r="AA481" s="2" t="str">
        <f t="shared" si="86"/>
        <v/>
      </c>
      <c r="AB481" s="2" t="b">
        <f t="shared" si="87"/>
        <v>0</v>
      </c>
    </row>
    <row r="482" spans="1:28" x14ac:dyDescent="0.3">
      <c r="A482" s="2">
        <v>481</v>
      </c>
      <c r="B482" s="4"/>
      <c r="C482" s="4" t="s">
        <v>41</v>
      </c>
      <c r="D482" s="3"/>
      <c r="E482" s="3"/>
      <c r="F482" s="3"/>
      <c r="G482" s="3"/>
      <c r="H482" s="4"/>
      <c r="I482" s="4"/>
      <c r="J482" s="4"/>
      <c r="K482" s="4"/>
      <c r="L482" s="4"/>
      <c r="M482" s="4"/>
      <c r="N482" s="2" t="str">
        <f t="shared" si="77"/>
        <v/>
      </c>
      <c r="O482" s="2" t="str">
        <f t="shared" si="78"/>
        <v/>
      </c>
      <c r="P482" s="2" t="str">
        <f t="shared" si="79"/>
        <v/>
      </c>
      <c r="Q482" s="2" t="str">
        <f t="shared" si="80"/>
        <v/>
      </c>
      <c r="R482" s="2" t="str">
        <f t="shared" si="81"/>
        <v/>
      </c>
      <c r="S482" s="2" t="str">
        <f t="shared" si="82"/>
        <v/>
      </c>
      <c r="T482" s="2" t="str">
        <f t="shared" si="83"/>
        <v/>
      </c>
      <c r="U482" s="2" t="str">
        <f t="shared" si="84"/>
        <v/>
      </c>
      <c r="V482" s="2" t="b">
        <f t="shared" si="85"/>
        <v>0</v>
      </c>
      <c r="AA482" s="2" t="str">
        <f t="shared" si="86"/>
        <v/>
      </c>
      <c r="AB482" s="2" t="b">
        <f t="shared" si="87"/>
        <v>0</v>
      </c>
    </row>
    <row r="483" spans="1:28" x14ac:dyDescent="0.3">
      <c r="A483" s="2">
        <v>482</v>
      </c>
      <c r="B483" s="4"/>
      <c r="C483" s="4" t="s">
        <v>41</v>
      </c>
      <c r="D483" s="3"/>
      <c r="E483" s="3"/>
      <c r="F483" s="3"/>
      <c r="G483" s="3"/>
      <c r="H483" s="4"/>
      <c r="I483" s="4"/>
      <c r="J483" s="4"/>
      <c r="K483" s="4"/>
      <c r="L483" s="4"/>
      <c r="M483" s="4"/>
      <c r="N483" s="2" t="str">
        <f t="shared" si="77"/>
        <v/>
      </c>
      <c r="O483" s="2" t="str">
        <f t="shared" si="78"/>
        <v/>
      </c>
      <c r="P483" s="2" t="str">
        <f t="shared" si="79"/>
        <v/>
      </c>
      <c r="Q483" s="2" t="str">
        <f t="shared" si="80"/>
        <v/>
      </c>
      <c r="R483" s="2" t="str">
        <f t="shared" si="81"/>
        <v/>
      </c>
      <c r="S483" s="2" t="str">
        <f t="shared" si="82"/>
        <v/>
      </c>
      <c r="T483" s="2" t="str">
        <f t="shared" si="83"/>
        <v/>
      </c>
      <c r="U483" s="2" t="str">
        <f t="shared" si="84"/>
        <v/>
      </c>
      <c r="V483" s="2" t="b">
        <f t="shared" si="85"/>
        <v>0</v>
      </c>
      <c r="AA483" s="2" t="str">
        <f t="shared" si="86"/>
        <v/>
      </c>
      <c r="AB483" s="2" t="b">
        <f t="shared" si="87"/>
        <v>0</v>
      </c>
    </row>
    <row r="484" spans="1:28" x14ac:dyDescent="0.3">
      <c r="A484" s="2">
        <v>483</v>
      </c>
      <c r="B484" s="4"/>
      <c r="C484" s="4" t="s">
        <v>41</v>
      </c>
      <c r="D484" s="3"/>
      <c r="E484" s="3"/>
      <c r="F484" s="3"/>
      <c r="G484" s="3"/>
      <c r="H484" s="4"/>
      <c r="I484" s="4"/>
      <c r="J484" s="4"/>
      <c r="K484" s="4"/>
      <c r="L484" s="4"/>
      <c r="M484" s="4"/>
      <c r="N484" s="2" t="str">
        <f t="shared" si="77"/>
        <v/>
      </c>
      <c r="O484" s="2" t="str">
        <f t="shared" si="78"/>
        <v/>
      </c>
      <c r="P484" s="2" t="str">
        <f t="shared" si="79"/>
        <v/>
      </c>
      <c r="Q484" s="2" t="str">
        <f t="shared" si="80"/>
        <v/>
      </c>
      <c r="R484" s="2" t="str">
        <f t="shared" si="81"/>
        <v/>
      </c>
      <c r="S484" s="2" t="str">
        <f t="shared" si="82"/>
        <v/>
      </c>
      <c r="T484" s="2" t="str">
        <f t="shared" si="83"/>
        <v/>
      </c>
      <c r="U484" s="2" t="str">
        <f t="shared" si="84"/>
        <v/>
      </c>
      <c r="V484" s="2" t="b">
        <f t="shared" si="85"/>
        <v>0</v>
      </c>
      <c r="AA484" s="2" t="str">
        <f t="shared" si="86"/>
        <v/>
      </c>
      <c r="AB484" s="2" t="b">
        <f t="shared" si="87"/>
        <v>0</v>
      </c>
    </row>
    <row r="485" spans="1:28" x14ac:dyDescent="0.3">
      <c r="A485" s="2">
        <v>484</v>
      </c>
      <c r="B485" s="4"/>
      <c r="C485" s="4" t="s">
        <v>41</v>
      </c>
      <c r="D485" s="3"/>
      <c r="E485" s="3"/>
      <c r="F485" s="3"/>
      <c r="G485" s="3"/>
      <c r="H485" s="4"/>
      <c r="I485" s="4"/>
      <c r="J485" s="4"/>
      <c r="K485" s="4"/>
      <c r="L485" s="4"/>
      <c r="M485" s="4"/>
      <c r="N485" s="2" t="str">
        <f t="shared" si="77"/>
        <v/>
      </c>
      <c r="O485" s="2" t="str">
        <f t="shared" si="78"/>
        <v/>
      </c>
      <c r="P485" s="2" t="str">
        <f t="shared" si="79"/>
        <v/>
      </c>
      <c r="Q485" s="2" t="str">
        <f t="shared" si="80"/>
        <v/>
      </c>
      <c r="R485" s="2" t="str">
        <f t="shared" si="81"/>
        <v/>
      </c>
      <c r="S485" s="2" t="str">
        <f t="shared" si="82"/>
        <v/>
      </c>
      <c r="T485" s="2" t="str">
        <f t="shared" si="83"/>
        <v/>
      </c>
      <c r="U485" s="2" t="str">
        <f t="shared" si="84"/>
        <v/>
      </c>
      <c r="V485" s="2" t="b">
        <f t="shared" si="85"/>
        <v>0</v>
      </c>
      <c r="AA485" s="2" t="str">
        <f t="shared" si="86"/>
        <v/>
      </c>
      <c r="AB485" s="2" t="b">
        <f t="shared" si="87"/>
        <v>0</v>
      </c>
    </row>
    <row r="486" spans="1:28" x14ac:dyDescent="0.3">
      <c r="A486" s="2">
        <v>485</v>
      </c>
      <c r="B486" s="4"/>
      <c r="C486" s="4" t="s">
        <v>41</v>
      </c>
      <c r="D486" s="3"/>
      <c r="E486" s="3"/>
      <c r="F486" s="3"/>
      <c r="G486" s="3"/>
      <c r="H486" s="4"/>
      <c r="I486" s="4"/>
      <c r="J486" s="4"/>
      <c r="K486" s="4"/>
      <c r="L486" s="4"/>
      <c r="M486" s="4"/>
      <c r="N486" s="2" t="str">
        <f t="shared" si="77"/>
        <v/>
      </c>
      <c r="O486" s="2" t="str">
        <f t="shared" si="78"/>
        <v/>
      </c>
      <c r="P486" s="2" t="str">
        <f t="shared" si="79"/>
        <v/>
      </c>
      <c r="Q486" s="2" t="str">
        <f t="shared" si="80"/>
        <v/>
      </c>
      <c r="R486" s="2" t="str">
        <f t="shared" si="81"/>
        <v/>
      </c>
      <c r="S486" s="2" t="str">
        <f t="shared" si="82"/>
        <v/>
      </c>
      <c r="T486" s="2" t="str">
        <f t="shared" si="83"/>
        <v/>
      </c>
      <c r="U486" s="2" t="str">
        <f t="shared" si="84"/>
        <v/>
      </c>
      <c r="V486" s="2" t="b">
        <f t="shared" si="85"/>
        <v>0</v>
      </c>
      <c r="AA486" s="2" t="str">
        <f t="shared" si="86"/>
        <v/>
      </c>
      <c r="AB486" s="2" t="b">
        <f t="shared" si="87"/>
        <v>0</v>
      </c>
    </row>
    <row r="487" spans="1:28" x14ac:dyDescent="0.3">
      <c r="A487" s="2">
        <v>486</v>
      </c>
      <c r="B487" s="4"/>
      <c r="C487" s="4" t="s">
        <v>41</v>
      </c>
      <c r="D487" s="3"/>
      <c r="E487" s="3"/>
      <c r="F487" s="3"/>
      <c r="G487" s="3"/>
      <c r="H487" s="4"/>
      <c r="I487" s="4"/>
      <c r="J487" s="4"/>
      <c r="K487" s="4"/>
      <c r="L487" s="4"/>
      <c r="M487" s="4"/>
      <c r="N487" s="2" t="str">
        <f t="shared" si="77"/>
        <v/>
      </c>
      <c r="O487" s="2" t="str">
        <f t="shared" si="78"/>
        <v/>
      </c>
      <c r="P487" s="2" t="str">
        <f t="shared" si="79"/>
        <v/>
      </c>
      <c r="Q487" s="2" t="str">
        <f t="shared" si="80"/>
        <v/>
      </c>
      <c r="R487" s="2" t="str">
        <f t="shared" si="81"/>
        <v/>
      </c>
      <c r="S487" s="2" t="str">
        <f t="shared" si="82"/>
        <v/>
      </c>
      <c r="T487" s="2" t="str">
        <f t="shared" si="83"/>
        <v/>
      </c>
      <c r="U487" s="2" t="str">
        <f t="shared" si="84"/>
        <v/>
      </c>
      <c r="V487" s="2" t="b">
        <f t="shared" si="85"/>
        <v>0</v>
      </c>
      <c r="AA487" s="2" t="str">
        <f t="shared" si="86"/>
        <v/>
      </c>
      <c r="AB487" s="2" t="b">
        <f t="shared" si="87"/>
        <v>0</v>
      </c>
    </row>
    <row r="488" spans="1:28" x14ac:dyDescent="0.3">
      <c r="A488" s="2">
        <v>487</v>
      </c>
      <c r="B488" s="4"/>
      <c r="C488" s="4" t="s">
        <v>41</v>
      </c>
      <c r="D488" s="3"/>
      <c r="E488" s="3"/>
      <c r="F488" s="3"/>
      <c r="G488" s="3"/>
      <c r="H488" s="4"/>
      <c r="I488" s="4"/>
      <c r="J488" s="4"/>
      <c r="K488" s="4"/>
      <c r="L488" s="4"/>
      <c r="M488" s="4"/>
      <c r="N488" s="2" t="str">
        <f t="shared" si="77"/>
        <v/>
      </c>
      <c r="O488" s="2" t="str">
        <f t="shared" si="78"/>
        <v/>
      </c>
      <c r="P488" s="2" t="str">
        <f t="shared" si="79"/>
        <v/>
      </c>
      <c r="Q488" s="2" t="str">
        <f t="shared" si="80"/>
        <v/>
      </c>
      <c r="R488" s="2" t="str">
        <f t="shared" si="81"/>
        <v/>
      </c>
      <c r="S488" s="2" t="str">
        <f t="shared" si="82"/>
        <v/>
      </c>
      <c r="T488" s="2" t="str">
        <f t="shared" si="83"/>
        <v/>
      </c>
      <c r="U488" s="2" t="str">
        <f t="shared" si="84"/>
        <v/>
      </c>
      <c r="V488" s="2" t="b">
        <f t="shared" si="85"/>
        <v>0</v>
      </c>
      <c r="AA488" s="2" t="str">
        <f t="shared" si="86"/>
        <v/>
      </c>
      <c r="AB488" s="2" t="b">
        <f t="shared" si="87"/>
        <v>0</v>
      </c>
    </row>
    <row r="489" spans="1:28" x14ac:dyDescent="0.3">
      <c r="A489" s="2">
        <v>488</v>
      </c>
      <c r="B489" s="4"/>
      <c r="C489" s="4" t="s">
        <v>41</v>
      </c>
      <c r="D489" s="3"/>
      <c r="E489" s="3"/>
      <c r="F489" s="3"/>
      <c r="G489" s="3"/>
      <c r="H489" s="4"/>
      <c r="I489" s="4"/>
      <c r="J489" s="4"/>
      <c r="K489" s="4"/>
      <c r="L489" s="4"/>
      <c r="M489" s="4"/>
      <c r="N489" s="2" t="str">
        <f t="shared" si="77"/>
        <v/>
      </c>
      <c r="O489" s="2" t="str">
        <f t="shared" si="78"/>
        <v/>
      </c>
      <c r="P489" s="2" t="str">
        <f t="shared" si="79"/>
        <v/>
      </c>
      <c r="Q489" s="2" t="str">
        <f t="shared" si="80"/>
        <v/>
      </c>
      <c r="R489" s="2" t="str">
        <f t="shared" si="81"/>
        <v/>
      </c>
      <c r="S489" s="2" t="str">
        <f t="shared" si="82"/>
        <v/>
      </c>
      <c r="T489" s="2" t="str">
        <f t="shared" si="83"/>
        <v/>
      </c>
      <c r="U489" s="2" t="str">
        <f t="shared" si="84"/>
        <v/>
      </c>
      <c r="V489" s="2" t="b">
        <f t="shared" si="85"/>
        <v>0</v>
      </c>
      <c r="AA489" s="2" t="str">
        <f t="shared" si="86"/>
        <v/>
      </c>
      <c r="AB489" s="2" t="b">
        <f t="shared" si="87"/>
        <v>0</v>
      </c>
    </row>
    <row r="490" spans="1:28" x14ac:dyDescent="0.3">
      <c r="A490" s="2">
        <v>489</v>
      </c>
      <c r="B490" s="4"/>
      <c r="C490" s="4" t="s">
        <v>41</v>
      </c>
      <c r="D490" s="3"/>
      <c r="E490" s="3"/>
      <c r="F490" s="3"/>
      <c r="G490" s="3"/>
      <c r="H490" s="4"/>
      <c r="I490" s="4"/>
      <c r="J490" s="4"/>
      <c r="K490" s="4"/>
      <c r="L490" s="4"/>
      <c r="M490" s="4"/>
      <c r="N490" s="2" t="str">
        <f t="shared" si="77"/>
        <v/>
      </c>
      <c r="O490" s="2" t="str">
        <f t="shared" si="78"/>
        <v/>
      </c>
      <c r="P490" s="2" t="str">
        <f t="shared" si="79"/>
        <v/>
      </c>
      <c r="Q490" s="2" t="str">
        <f t="shared" si="80"/>
        <v/>
      </c>
      <c r="R490" s="2" t="str">
        <f t="shared" si="81"/>
        <v/>
      </c>
      <c r="S490" s="2" t="str">
        <f t="shared" si="82"/>
        <v/>
      </c>
      <c r="T490" s="2" t="str">
        <f t="shared" si="83"/>
        <v/>
      </c>
      <c r="U490" s="2" t="str">
        <f t="shared" si="84"/>
        <v/>
      </c>
      <c r="V490" s="2" t="b">
        <f t="shared" si="85"/>
        <v>0</v>
      </c>
      <c r="AA490" s="2" t="str">
        <f t="shared" si="86"/>
        <v/>
      </c>
      <c r="AB490" s="2" t="b">
        <f t="shared" si="87"/>
        <v>0</v>
      </c>
    </row>
    <row r="491" spans="1:28" x14ac:dyDescent="0.3">
      <c r="A491" s="2">
        <v>490</v>
      </c>
      <c r="B491" s="4"/>
      <c r="C491" s="4" t="s">
        <v>41</v>
      </c>
      <c r="D491" s="3"/>
      <c r="E491" s="3"/>
      <c r="F491" s="3"/>
      <c r="G491" s="3"/>
      <c r="H491" s="4"/>
      <c r="I491" s="4"/>
      <c r="J491" s="4"/>
      <c r="K491" s="4"/>
      <c r="L491" s="4"/>
      <c r="M491" s="4"/>
      <c r="N491" s="2" t="str">
        <f t="shared" si="77"/>
        <v/>
      </c>
      <c r="O491" s="2" t="str">
        <f t="shared" si="78"/>
        <v/>
      </c>
      <c r="P491" s="2" t="str">
        <f t="shared" si="79"/>
        <v/>
      </c>
      <c r="Q491" s="2" t="str">
        <f t="shared" si="80"/>
        <v/>
      </c>
      <c r="R491" s="2" t="str">
        <f t="shared" si="81"/>
        <v/>
      </c>
      <c r="S491" s="2" t="str">
        <f t="shared" si="82"/>
        <v/>
      </c>
      <c r="T491" s="2" t="str">
        <f t="shared" si="83"/>
        <v/>
      </c>
      <c r="U491" s="2" t="str">
        <f t="shared" si="84"/>
        <v/>
      </c>
      <c r="V491" s="2" t="b">
        <f t="shared" si="85"/>
        <v>0</v>
      </c>
      <c r="AA491" s="2" t="str">
        <f t="shared" si="86"/>
        <v/>
      </c>
      <c r="AB491" s="2" t="b">
        <f t="shared" si="87"/>
        <v>0</v>
      </c>
    </row>
    <row r="492" spans="1:28" x14ac:dyDescent="0.3">
      <c r="A492" s="2">
        <v>491</v>
      </c>
      <c r="B492" s="4"/>
      <c r="C492" s="4" t="s">
        <v>41</v>
      </c>
      <c r="D492" s="3"/>
      <c r="E492" s="3"/>
      <c r="F492" s="3"/>
      <c r="G492" s="3"/>
      <c r="H492" s="4"/>
      <c r="I492" s="4"/>
      <c r="J492" s="4"/>
      <c r="K492" s="4"/>
      <c r="L492" s="4"/>
      <c r="M492" s="4"/>
      <c r="N492" s="2" t="str">
        <f t="shared" si="77"/>
        <v/>
      </c>
      <c r="O492" s="2" t="str">
        <f t="shared" si="78"/>
        <v/>
      </c>
      <c r="P492" s="2" t="str">
        <f t="shared" si="79"/>
        <v/>
      </c>
      <c r="Q492" s="2" t="str">
        <f t="shared" si="80"/>
        <v/>
      </c>
      <c r="R492" s="2" t="str">
        <f t="shared" si="81"/>
        <v/>
      </c>
      <c r="S492" s="2" t="str">
        <f t="shared" si="82"/>
        <v/>
      </c>
      <c r="T492" s="2" t="str">
        <f t="shared" si="83"/>
        <v/>
      </c>
      <c r="U492" s="2" t="str">
        <f t="shared" si="84"/>
        <v/>
      </c>
      <c r="V492" s="2" t="b">
        <f t="shared" si="85"/>
        <v>0</v>
      </c>
      <c r="AA492" s="2" t="str">
        <f t="shared" si="86"/>
        <v/>
      </c>
      <c r="AB492" s="2" t="b">
        <f t="shared" si="87"/>
        <v>0</v>
      </c>
    </row>
    <row r="493" spans="1:28" x14ac:dyDescent="0.3">
      <c r="A493" s="2">
        <v>492</v>
      </c>
      <c r="B493" s="4"/>
      <c r="C493" s="4" t="s">
        <v>41</v>
      </c>
      <c r="D493" s="3"/>
      <c r="E493" s="3"/>
      <c r="F493" s="3"/>
      <c r="G493" s="3"/>
      <c r="H493" s="4"/>
      <c r="I493" s="4"/>
      <c r="J493" s="4"/>
      <c r="K493" s="4"/>
      <c r="L493" s="4"/>
      <c r="M493" s="4"/>
      <c r="N493" s="2" t="str">
        <f t="shared" si="77"/>
        <v/>
      </c>
      <c r="O493" s="2" t="str">
        <f t="shared" si="78"/>
        <v/>
      </c>
      <c r="P493" s="2" t="str">
        <f t="shared" si="79"/>
        <v/>
      </c>
      <c r="Q493" s="2" t="str">
        <f t="shared" si="80"/>
        <v/>
      </c>
      <c r="R493" s="2" t="str">
        <f t="shared" si="81"/>
        <v/>
      </c>
      <c r="S493" s="2" t="str">
        <f t="shared" si="82"/>
        <v/>
      </c>
      <c r="T493" s="2" t="str">
        <f t="shared" si="83"/>
        <v/>
      </c>
      <c r="U493" s="2" t="str">
        <f t="shared" si="84"/>
        <v/>
      </c>
      <c r="V493" s="2" t="b">
        <f t="shared" si="85"/>
        <v>0</v>
      </c>
      <c r="AA493" s="2" t="str">
        <f t="shared" si="86"/>
        <v/>
      </c>
      <c r="AB493" s="2" t="b">
        <f t="shared" si="87"/>
        <v>0</v>
      </c>
    </row>
    <row r="494" spans="1:28" x14ac:dyDescent="0.3">
      <c r="A494" s="2">
        <v>493</v>
      </c>
      <c r="B494" s="4"/>
      <c r="C494" s="4" t="s">
        <v>41</v>
      </c>
      <c r="D494" s="3"/>
      <c r="E494" s="3"/>
      <c r="F494" s="3"/>
      <c r="G494" s="3"/>
      <c r="H494" s="4"/>
      <c r="I494" s="4"/>
      <c r="J494" s="4"/>
      <c r="K494" s="4"/>
      <c r="L494" s="4"/>
      <c r="M494" s="4"/>
      <c r="N494" s="2" t="str">
        <f t="shared" si="77"/>
        <v/>
      </c>
      <c r="O494" s="2" t="str">
        <f t="shared" si="78"/>
        <v/>
      </c>
      <c r="P494" s="2" t="str">
        <f t="shared" si="79"/>
        <v/>
      </c>
      <c r="Q494" s="2" t="str">
        <f t="shared" si="80"/>
        <v/>
      </c>
      <c r="R494" s="2" t="str">
        <f t="shared" si="81"/>
        <v/>
      </c>
      <c r="S494" s="2" t="str">
        <f t="shared" si="82"/>
        <v/>
      </c>
      <c r="T494" s="2" t="str">
        <f t="shared" si="83"/>
        <v/>
      </c>
      <c r="U494" s="2" t="str">
        <f t="shared" si="84"/>
        <v/>
      </c>
      <c r="V494" s="2" t="b">
        <f t="shared" si="85"/>
        <v>0</v>
      </c>
      <c r="AA494" s="2" t="str">
        <f t="shared" si="86"/>
        <v/>
      </c>
      <c r="AB494" s="2" t="b">
        <f t="shared" si="87"/>
        <v>0</v>
      </c>
    </row>
    <row r="495" spans="1:28" x14ac:dyDescent="0.3">
      <c r="A495" s="2">
        <v>494</v>
      </c>
      <c r="B495" s="4"/>
      <c r="C495" s="4" t="s">
        <v>41</v>
      </c>
      <c r="D495" s="3"/>
      <c r="E495" s="3"/>
      <c r="F495" s="3"/>
      <c r="G495" s="3"/>
      <c r="H495" s="4"/>
      <c r="I495" s="4"/>
      <c r="J495" s="4"/>
      <c r="K495" s="4"/>
      <c r="L495" s="4"/>
      <c r="M495" s="4"/>
      <c r="N495" s="2" t="str">
        <f t="shared" si="77"/>
        <v/>
      </c>
      <c r="O495" s="2" t="str">
        <f t="shared" si="78"/>
        <v/>
      </c>
      <c r="P495" s="2" t="str">
        <f t="shared" si="79"/>
        <v/>
      </c>
      <c r="Q495" s="2" t="str">
        <f t="shared" si="80"/>
        <v/>
      </c>
      <c r="R495" s="2" t="str">
        <f t="shared" si="81"/>
        <v/>
      </c>
      <c r="S495" s="2" t="str">
        <f t="shared" si="82"/>
        <v/>
      </c>
      <c r="T495" s="2" t="str">
        <f t="shared" si="83"/>
        <v/>
      </c>
      <c r="U495" s="2" t="str">
        <f t="shared" si="84"/>
        <v/>
      </c>
      <c r="V495" s="2" t="b">
        <f t="shared" si="85"/>
        <v>0</v>
      </c>
      <c r="AA495" s="2" t="str">
        <f t="shared" si="86"/>
        <v/>
      </c>
      <c r="AB495" s="2" t="b">
        <f t="shared" si="87"/>
        <v>0</v>
      </c>
    </row>
    <row r="496" spans="1:28" x14ac:dyDescent="0.3">
      <c r="A496" s="2">
        <v>495</v>
      </c>
      <c r="B496" s="4"/>
      <c r="C496" s="4" t="s">
        <v>41</v>
      </c>
      <c r="D496" s="3"/>
      <c r="E496" s="3"/>
      <c r="F496" s="3"/>
      <c r="G496" s="3"/>
      <c r="H496" s="4"/>
      <c r="I496" s="4"/>
      <c r="J496" s="4"/>
      <c r="K496" s="4"/>
      <c r="L496" s="4"/>
      <c r="M496" s="4"/>
      <c r="N496" s="2" t="str">
        <f t="shared" si="77"/>
        <v/>
      </c>
      <c r="O496" s="2" t="str">
        <f t="shared" si="78"/>
        <v/>
      </c>
      <c r="P496" s="2" t="str">
        <f t="shared" si="79"/>
        <v/>
      </c>
      <c r="Q496" s="2" t="str">
        <f t="shared" si="80"/>
        <v/>
      </c>
      <c r="R496" s="2" t="str">
        <f t="shared" si="81"/>
        <v/>
      </c>
      <c r="S496" s="2" t="str">
        <f t="shared" si="82"/>
        <v/>
      </c>
      <c r="T496" s="2" t="str">
        <f t="shared" si="83"/>
        <v/>
      </c>
      <c r="U496" s="2" t="str">
        <f t="shared" si="84"/>
        <v/>
      </c>
      <c r="V496" s="2" t="b">
        <f t="shared" si="85"/>
        <v>0</v>
      </c>
      <c r="AA496" s="2" t="str">
        <f t="shared" si="86"/>
        <v/>
      </c>
      <c r="AB496" s="2" t="b">
        <f t="shared" si="87"/>
        <v>0</v>
      </c>
    </row>
    <row r="497" spans="1:28" x14ac:dyDescent="0.3">
      <c r="A497" s="2">
        <v>496</v>
      </c>
      <c r="B497" s="4"/>
      <c r="C497" s="4" t="s">
        <v>41</v>
      </c>
      <c r="D497" s="3"/>
      <c r="E497" s="3"/>
      <c r="F497" s="3"/>
      <c r="G497" s="3"/>
      <c r="H497" s="4"/>
      <c r="I497" s="4"/>
      <c r="J497" s="4"/>
      <c r="K497" s="4"/>
      <c r="L497" s="4"/>
      <c r="M497" s="4"/>
      <c r="N497" s="2" t="str">
        <f t="shared" si="77"/>
        <v/>
      </c>
      <c r="O497" s="2" t="str">
        <f t="shared" si="78"/>
        <v/>
      </c>
      <c r="P497" s="2" t="str">
        <f t="shared" si="79"/>
        <v/>
      </c>
      <c r="Q497" s="2" t="str">
        <f t="shared" si="80"/>
        <v/>
      </c>
      <c r="R497" s="2" t="str">
        <f t="shared" si="81"/>
        <v/>
      </c>
      <c r="S497" s="2" t="str">
        <f t="shared" si="82"/>
        <v/>
      </c>
      <c r="T497" s="2" t="str">
        <f t="shared" si="83"/>
        <v/>
      </c>
      <c r="U497" s="2" t="str">
        <f t="shared" si="84"/>
        <v/>
      </c>
      <c r="V497" s="2" t="b">
        <f t="shared" si="85"/>
        <v>0</v>
      </c>
      <c r="AA497" s="2" t="str">
        <f t="shared" si="86"/>
        <v/>
      </c>
      <c r="AB497" s="2" t="b">
        <f t="shared" si="87"/>
        <v>0</v>
      </c>
    </row>
    <row r="498" spans="1:28" x14ac:dyDescent="0.3">
      <c r="A498" s="2">
        <v>497</v>
      </c>
      <c r="B498" s="4"/>
      <c r="C498" s="4" t="s">
        <v>41</v>
      </c>
      <c r="D498" s="3"/>
      <c r="E498" s="3"/>
      <c r="F498" s="3"/>
      <c r="G498" s="3"/>
      <c r="H498" s="4"/>
      <c r="I498" s="4"/>
      <c r="J498" s="4"/>
      <c r="K498" s="4"/>
      <c r="L498" s="4"/>
      <c r="M498" s="4"/>
      <c r="N498" s="2" t="str">
        <f t="shared" si="77"/>
        <v/>
      </c>
      <c r="O498" s="2" t="str">
        <f t="shared" si="78"/>
        <v/>
      </c>
      <c r="P498" s="2" t="str">
        <f t="shared" si="79"/>
        <v/>
      </c>
      <c r="Q498" s="2" t="str">
        <f t="shared" si="80"/>
        <v/>
      </c>
      <c r="R498" s="2" t="str">
        <f t="shared" si="81"/>
        <v/>
      </c>
      <c r="S498" s="2" t="str">
        <f t="shared" si="82"/>
        <v/>
      </c>
      <c r="T498" s="2" t="str">
        <f t="shared" si="83"/>
        <v/>
      </c>
      <c r="U498" s="2" t="str">
        <f t="shared" si="84"/>
        <v/>
      </c>
      <c r="V498" s="2" t="b">
        <f t="shared" si="85"/>
        <v>0</v>
      </c>
      <c r="AA498" s="2" t="str">
        <f t="shared" si="86"/>
        <v/>
      </c>
      <c r="AB498" s="2" t="b">
        <f t="shared" si="87"/>
        <v>0</v>
      </c>
    </row>
    <row r="499" spans="1:28" x14ac:dyDescent="0.3">
      <c r="A499" s="2">
        <v>498</v>
      </c>
      <c r="B499" s="4"/>
      <c r="C499" s="4" t="s">
        <v>41</v>
      </c>
      <c r="D499" s="3"/>
      <c r="E499" s="3"/>
      <c r="F499" s="3"/>
      <c r="G499" s="3"/>
      <c r="H499" s="4"/>
      <c r="I499" s="4"/>
      <c r="J499" s="4"/>
      <c r="K499" s="4"/>
      <c r="L499" s="4"/>
      <c r="M499" s="4"/>
      <c r="N499" s="2" t="str">
        <f t="shared" si="77"/>
        <v/>
      </c>
      <c r="O499" s="2" t="str">
        <f t="shared" si="78"/>
        <v/>
      </c>
      <c r="P499" s="2" t="str">
        <f t="shared" si="79"/>
        <v/>
      </c>
      <c r="Q499" s="2" t="str">
        <f t="shared" si="80"/>
        <v/>
      </c>
      <c r="R499" s="2" t="str">
        <f t="shared" si="81"/>
        <v/>
      </c>
      <c r="S499" s="2" t="str">
        <f t="shared" si="82"/>
        <v/>
      </c>
      <c r="T499" s="2" t="str">
        <f t="shared" si="83"/>
        <v/>
      </c>
      <c r="U499" s="2" t="str">
        <f t="shared" si="84"/>
        <v/>
      </c>
      <c r="V499" s="2" t="b">
        <f t="shared" si="85"/>
        <v>0</v>
      </c>
      <c r="AA499" s="2" t="str">
        <f t="shared" si="86"/>
        <v/>
      </c>
      <c r="AB499" s="2" t="b">
        <f t="shared" si="87"/>
        <v>0</v>
      </c>
    </row>
    <row r="500" spans="1:28" x14ac:dyDescent="0.3">
      <c r="A500" s="2">
        <v>499</v>
      </c>
      <c r="B500" s="4"/>
      <c r="C500" s="4" t="s">
        <v>41</v>
      </c>
      <c r="D500" s="3"/>
      <c r="E500" s="3"/>
      <c r="F500" s="3"/>
      <c r="G500" s="3"/>
      <c r="H500" s="4"/>
      <c r="I500" s="4"/>
      <c r="J500" s="4"/>
      <c r="K500" s="4"/>
      <c r="L500" s="4"/>
      <c r="M500" s="4"/>
      <c r="N500" s="2" t="str">
        <f t="shared" si="77"/>
        <v/>
      </c>
      <c r="O500" s="2" t="str">
        <f t="shared" si="78"/>
        <v/>
      </c>
      <c r="P500" s="2" t="str">
        <f t="shared" si="79"/>
        <v/>
      </c>
      <c r="Q500" s="2" t="str">
        <f t="shared" si="80"/>
        <v/>
      </c>
      <c r="R500" s="2" t="str">
        <f t="shared" si="81"/>
        <v/>
      </c>
      <c r="S500" s="2" t="str">
        <f t="shared" si="82"/>
        <v/>
      </c>
      <c r="T500" s="2" t="str">
        <f t="shared" si="83"/>
        <v/>
      </c>
      <c r="U500" s="2" t="str">
        <f t="shared" si="84"/>
        <v/>
      </c>
      <c r="V500" s="2" t="b">
        <f t="shared" si="85"/>
        <v>0</v>
      </c>
      <c r="AA500" s="2" t="str">
        <f t="shared" si="86"/>
        <v/>
      </c>
      <c r="AB500" s="2" t="b">
        <f t="shared" si="87"/>
        <v>0</v>
      </c>
    </row>
    <row r="501" spans="1:28" x14ac:dyDescent="0.3">
      <c r="A501" s="2">
        <v>500</v>
      </c>
      <c r="B501" s="4"/>
      <c r="C501" s="4" t="s">
        <v>41</v>
      </c>
      <c r="D501" s="3"/>
      <c r="E501" s="3"/>
      <c r="F501" s="3"/>
      <c r="G501" s="3"/>
      <c r="H501" s="4"/>
      <c r="I501" s="4"/>
      <c r="J501" s="4"/>
      <c r="K501" s="4"/>
      <c r="L501" s="4"/>
      <c r="M501" s="4"/>
      <c r="N501" s="2" t="str">
        <f t="shared" si="77"/>
        <v/>
      </c>
      <c r="O501" s="2" t="str">
        <f t="shared" si="78"/>
        <v/>
      </c>
      <c r="P501" s="2" t="str">
        <f t="shared" si="79"/>
        <v/>
      </c>
      <c r="Q501" s="2" t="str">
        <f t="shared" si="80"/>
        <v/>
      </c>
      <c r="R501" s="2" t="str">
        <f t="shared" si="81"/>
        <v/>
      </c>
      <c r="S501" s="2" t="str">
        <f t="shared" si="82"/>
        <v/>
      </c>
      <c r="T501" s="2" t="str">
        <f t="shared" si="83"/>
        <v/>
      </c>
      <c r="U501" s="2" t="str">
        <f t="shared" si="84"/>
        <v/>
      </c>
      <c r="V501" s="2" t="b">
        <f t="shared" si="85"/>
        <v>0</v>
      </c>
      <c r="AA501" s="2" t="str">
        <f t="shared" si="86"/>
        <v/>
      </c>
      <c r="AB501" s="2" t="b">
        <f t="shared" si="87"/>
        <v>0</v>
      </c>
    </row>
  </sheetData>
  <autoFilter ref="A1:AB501" xr:uid="{00000000-0009-0000-0000-000002000000}"/>
  <dataValidations count="5">
    <dataValidation type="list" allowBlank="1" showErrorMessage="1" errorTitle="Jugador no permitido" error="Debes seleccionar un jugador de la lista de la hoja 'Jugadores'." promptTitle="Selecciona jugador" prompt="Elige un jugador existente en la lista." sqref="D2:G501" xr:uid="{76B68DF8-EEC4-4EAF-A7F4-8F1E965969D5}">
      <formula1>PlayersList</formula1>
    </dataValidation>
    <dataValidation type="list" allowBlank="1" showErrorMessage="1" errorTitle="Tipo no válido" error="El tipo debe ser 'Liga' o 'Eliminatoria'." sqref="C2:C501" xr:uid="{FAED265B-4A22-481A-8700-E5CA1306BD2C}">
      <formula1>"Liga,Eliminatoria"</formula1>
    </dataValidation>
    <dataValidation type="custom" allowBlank="1" errorTitle="Jugador repetido" error="No puedes repetir el mismo jugador en el mismo partido." sqref="D2:G501" xr:uid="{9BFDC6F3-CF81-4164-B415-9A90AE50D2ED}">
      <formula1>OR(D2="",COUNTIF($D2:$G2,D2)=1)</formula1>
    </dataValidation>
    <dataValidation type="list" allowBlank="1" showErrorMessage="1" errorTitle="Jugador no permitido" error="Selecciona un jugador existente en la hoja 'Jugadores'." sqref="Z2" xr:uid="{00000000-0002-0000-0200-000006000000}">
      <formula1>PlayersList</formula1>
    </dataValidation>
    <dataValidation type="list" showErrorMessage="1" errorTitle="Temporada no válida" error="Elige 'Todas' o un año." sqref="Z5" xr:uid="{00000000-0002-0000-0200-000007000000}">
      <formula1>"Todas,2020,2021,2022,2023,2024,2025,2026,2027,2028,2029,2030"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1"/>
  <sheetViews>
    <sheetView workbookViewId="0">
      <pane ySplit="1" topLeftCell="A2" activePane="bottomLeft" state="frozen"/>
      <selection pane="bottomLeft" activeCell="I22" sqref="I22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5" width="6" customWidth="1"/>
    <col min="6" max="7" width="8" customWidth="1"/>
    <col min="8" max="8" width="7" customWidth="1"/>
    <col min="9" max="9" width="8" customWidth="1"/>
    <col min="10" max="10" width="12" customWidth="1"/>
    <col min="11" max="11" width="10" customWidth="1"/>
    <col min="12" max="12" width="5.5546875" bestFit="1" customWidth="1"/>
    <col min="13" max="13" width="10" customWidth="1"/>
  </cols>
  <sheetData>
    <row r="1" spans="1:13" ht="22.05" customHeight="1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3">
      <c r="A2" s="2">
        <f t="shared" ref="A2:A17" si="0">IF(B2="","",RANK(J2,$J$2:$J$61,0)+COUNTIFS($J$2:$J$61,J2,$H$2:$H$61,"&gt;"&amp;H2)+COUNTIFS($J$2:$J$61,J2,$H$2:$H$61,H2,$M$2:$M$61,"&gt;"&amp;M2)+COUNTIFS($J$2:$J$61,J2,$H$2:$H$61,H2,$M$2:$M$61,M2,$D$2:$D$61,"&gt;"&amp;D2)+COUNTIFS($J$2:$J$61,J2,$H$2:$H$61,H2,$M$2:$M$61,M2,$D$2:$D$61,D2,$B$2:$B$61,"&gt;"&amp;B2))</f>
        <v>1</v>
      </c>
      <c r="B2" s="6" t="str">
        <f>IF(Jugadores!B6="","",Jugadores!B6)</f>
        <v>Carmelo Rosario</v>
      </c>
      <c r="C2" s="2">
        <f>IF(B2="","",COUNTIFS(Partidos!$C:$C,Partidos!$X$2,Partidos!$D:$D,B2)+COUNTIFS(Partidos!$C:$C,Partidos!$X$2,Partidos!$E:$E,B2)+COUNTIFS(Partidos!$C:$C,Partidos!$X$2,Partidos!$F:$F,B2)+COUNTIFS(Partidos!$C:$C,Partidos!$X$2,Partidos!$G:$G,B2))</f>
        <v>35</v>
      </c>
      <c r="D2" s="2">
        <f>IF(B2="","",COUNTIFS(Partidos!$C:$C,Partidos!$X$2,Partidos!$P:$P,"A",Partidos!$D:$D,B2)+COUNTIFS(Partidos!$C:$C,Partidos!$X$2,Partidos!$P:$P,"A",Partidos!$E:$E,B2)+COUNTIFS(Partidos!$C:$C,Partidos!$X$2,Partidos!$P:$P,"B",Partidos!$F:$F,B2)+COUNTIFS(Partidos!$C:$C,Partidos!$X$2,Partidos!$P:$P,"B",Partidos!$G:$G,B2))</f>
        <v>23</v>
      </c>
      <c r="E2" s="2">
        <f t="shared" ref="E2:E17" si="1">IF(B2="","",C2-D2)</f>
        <v>12</v>
      </c>
      <c r="F2" s="2">
        <f>IF(B2="","",SUMIFS(Partidos!$Q:$Q,Partidos!$C:$C,Partidos!$X$2,Partidos!$D:$D,B2)+SUMIFS(Partidos!$Q:$Q,Partidos!$C:$C,Partidos!$X$2,Partidos!$E:$E,B2)+SUMIFS(Partidos!$R:$R,Partidos!$C:$C,Partidos!$X$2,Partidos!$F:$F,B2)+SUMIFS(Partidos!$R:$R,Partidos!$C:$C,Partidos!$X$2,Partidos!$G:$G,B2))</f>
        <v>422</v>
      </c>
      <c r="G2" s="2">
        <f>IF(B2="","",SUMIFS(Partidos!$R:$R,Partidos!$C:$C,Partidos!$X$2,Partidos!$D:$D,B2)+SUMIFS(Partidos!$R:$R,Partidos!$C:$C,Partidos!$X$2,Partidos!$E:$E,B2)+SUMIFS(Partidos!$Q:$Q,Partidos!$C:$C,Partidos!$X$2,Partidos!$F:$F,B2)+SUMIFS(Partidos!$Q:$Q,Partidos!$C:$C,Partidos!$X$2,Partidos!$G:$G,B2))</f>
        <v>361</v>
      </c>
      <c r="H2" s="2">
        <f t="shared" ref="H2:H17" si="2">IF(B2="","",F2-G2)</f>
        <v>61</v>
      </c>
      <c r="I2" s="10">
        <f>IF(B2="","",SUMIFS(Partidos!$T:$T,Partidos!$C:$C,Partidos!$X$2,Partidos!$D:$D,B2)+SUMIFS(Partidos!$T:$T,Partidos!$C:$C,Partidos!$X$2,Partidos!$E:$E,B2)+SUMIFS(Partidos!$U:$U,Partidos!$C:$C,Partidos!$X$2,Partidos!$F:$F,B2)+SUMIFS(Partidos!$U:$U,Partidos!$C:$C,Partidos!$X$2,Partidos!$G:$G,B2))</f>
        <v>2.4800000000000004</v>
      </c>
      <c r="J2" s="25">
        <f>IF(B2="","",D2*Partidos!$X$3 + E2*Partidos!$X$4 + I2)</f>
        <v>48.480000000000004</v>
      </c>
      <c r="K2" s="10">
        <f>IF(B2="","",SUMIFS(Partidos!$N:$N,Partidos!$C:$C,Partidos!$X$2,Partidos!$D:$D,B2)+SUMIFS(Partidos!$N:$N,Partidos!$C:$C,Partidos!$X$2,Partidos!$E:$E,B2)+SUMIFS(Partidos!$O:$O,Partidos!$C:$C,Partidos!$X$2,Partidos!$F:$F,B2)+SUMIFS(Partidos!$O:$O,Partidos!$C:$C,Partidos!$X$2,Partidos!$G:$G,B2))</f>
        <v>50</v>
      </c>
      <c r="L2" s="10">
        <f>IF(B2="","",SUMIFS(Partidos!$O:$O,Partidos!$C:$C,Partidos!$X$2,Partidos!$D:$D,B2)+SUMIFS(Partidos!$O:$O,Partidos!$C:$C,Partidos!$X$2,Partidos!$E:$E,B2)+SUMIFS(Partidos!$N:$N,Partidos!$C:$C,Partidos!$X$2,Partidos!$F:$F,B2)+SUMIFS(Partidos!$N:$N,Partidos!$C:$C,Partidos!$X$2,Partidos!$G:$G,B2))</f>
        <v>34</v>
      </c>
      <c r="M2" s="10">
        <f t="shared" ref="M2:M17" si="3">IF(B2="","",K2-L2)</f>
        <v>16</v>
      </c>
    </row>
    <row r="3" spans="1:13" x14ac:dyDescent="0.3">
      <c r="A3" s="2">
        <f t="shared" si="0"/>
        <v>2</v>
      </c>
      <c r="B3" s="6" t="str">
        <f>IF(Jugadores!B2="","",Jugadores!B2)</f>
        <v>Javier suarez</v>
      </c>
      <c r="C3" s="2">
        <f>IF(B3="","",COUNTIFS(Partidos!$C:$C,Partidos!$X$2,Partidos!$D:$D,B3)+COUNTIFS(Partidos!$C:$C,Partidos!$X$2,Partidos!$E:$E,B3)+COUNTIFS(Partidos!$C:$C,Partidos!$X$2,Partidos!$F:$F,B3)+COUNTIFS(Partidos!$C:$C,Partidos!$X$2,Partidos!$G:$G,B3))</f>
        <v>28</v>
      </c>
      <c r="D3" s="2">
        <f>IF(B3="","",COUNTIFS(Partidos!$C:$C,Partidos!$X$2,Partidos!$P:$P,"A",Partidos!$D:$D,B3)+COUNTIFS(Partidos!$C:$C,Partidos!$X$2,Partidos!$P:$P,"A",Partidos!$E:$E,B3)+COUNTIFS(Partidos!$C:$C,Partidos!$X$2,Partidos!$P:$P,"B",Partidos!$F:$F,B3)+COUNTIFS(Partidos!$C:$C,Partidos!$X$2,Partidos!$P:$P,"B",Partidos!$G:$G,B3))</f>
        <v>19</v>
      </c>
      <c r="E3" s="2">
        <f t="shared" si="1"/>
        <v>9</v>
      </c>
      <c r="F3" s="2">
        <f>IF(B3="","",SUMIFS(Partidos!$Q:$Q,Partidos!$C:$C,Partidos!$X$2,Partidos!$D:$D,B3)+SUMIFS(Partidos!$Q:$Q,Partidos!$C:$C,Partidos!$X$2,Partidos!$E:$E,B3)+SUMIFS(Partidos!$R:$R,Partidos!$C:$C,Partidos!$X$2,Partidos!$F:$F,B3)+SUMIFS(Partidos!$R:$R,Partidos!$C:$C,Partidos!$X$2,Partidos!$G:$G,B3))</f>
        <v>349</v>
      </c>
      <c r="G3" s="2">
        <f>IF(B3="","",SUMIFS(Partidos!$R:$R,Partidos!$C:$C,Partidos!$X$2,Partidos!$D:$D,B3)+SUMIFS(Partidos!$R:$R,Partidos!$C:$C,Partidos!$X$2,Partidos!$E:$E,B3)+SUMIFS(Partidos!$Q:$Q,Partidos!$C:$C,Partidos!$X$2,Partidos!$F:$F,B3)+SUMIFS(Partidos!$Q:$Q,Partidos!$C:$C,Partidos!$X$2,Partidos!$G:$G,B3))</f>
        <v>249</v>
      </c>
      <c r="H3" s="2">
        <f t="shared" si="2"/>
        <v>100</v>
      </c>
      <c r="I3" s="10">
        <f>IF(B3="","",SUMIFS(Partidos!$T:$T,Partidos!$C:$C,Partidos!$X$2,Partidos!$D:$D,B3)+SUMIFS(Partidos!$T:$T,Partidos!$C:$C,Partidos!$X$2,Partidos!$E:$E,B3)+SUMIFS(Partidos!$U:$U,Partidos!$C:$C,Partidos!$X$2,Partidos!$F:$F,B3)+SUMIFS(Partidos!$U:$U,Partidos!$C:$C,Partidos!$X$2,Partidos!$G:$G,B3))</f>
        <v>2.64</v>
      </c>
      <c r="J3" s="25">
        <f>IF(B3="","",D3*Partidos!$X$3 + E3*Partidos!$X$4 + I3)</f>
        <v>40.64</v>
      </c>
      <c r="K3" s="10">
        <f>IF(B3="","",SUMIFS(Partidos!$N:$N,Partidos!$C:$C,Partidos!$X$2,Partidos!$D:$D,B3)+SUMIFS(Partidos!$N:$N,Partidos!$C:$C,Partidos!$X$2,Partidos!$E:$E,B3)+SUMIFS(Partidos!$O:$O,Partidos!$C:$C,Partidos!$X$2,Partidos!$F:$F,B3)+SUMIFS(Partidos!$O:$O,Partidos!$C:$C,Partidos!$X$2,Partidos!$G:$G,B3))</f>
        <v>45</v>
      </c>
      <c r="L3" s="10">
        <f>IF(B3="","",SUMIFS(Partidos!$O:$O,Partidos!$C:$C,Partidos!$X$2,Partidos!$D:$D,B3)+SUMIFS(Partidos!$O:$O,Partidos!$C:$C,Partidos!$X$2,Partidos!$E:$E,B3)+SUMIFS(Partidos!$N:$N,Partidos!$C:$C,Partidos!$X$2,Partidos!$F:$F,B3)+SUMIFS(Partidos!$N:$N,Partidos!$C:$C,Partidos!$X$2,Partidos!$G:$G,B3))</f>
        <v>20</v>
      </c>
      <c r="M3" s="10">
        <f t="shared" si="3"/>
        <v>25</v>
      </c>
    </row>
    <row r="4" spans="1:13" x14ac:dyDescent="0.3">
      <c r="A4" s="2">
        <f t="shared" si="0"/>
        <v>3</v>
      </c>
      <c r="B4" s="6" t="str">
        <f>IF(Jugadores!B11="","",Jugadores!B11)</f>
        <v>Javier Bonilla</v>
      </c>
      <c r="C4" s="2">
        <f>IF(B4="","",COUNTIFS(Partidos!$C:$C,Partidos!$X$2,Partidos!$D:$D,B4)+COUNTIFS(Partidos!$C:$C,Partidos!$X$2,Partidos!$E:$E,B4)+COUNTIFS(Partidos!$C:$C,Partidos!$X$2,Partidos!$F:$F,B4)+COUNTIFS(Partidos!$C:$C,Partidos!$X$2,Partidos!$G:$G,B4))</f>
        <v>29</v>
      </c>
      <c r="D4" s="2">
        <f>IF(B4="","",COUNTIFS(Partidos!$C:$C,Partidos!$X$2,Partidos!$P:$P,"A",Partidos!$D:$D,B4)+COUNTIFS(Partidos!$C:$C,Partidos!$X$2,Partidos!$P:$P,"A",Partidos!$E:$E,B4)+COUNTIFS(Partidos!$C:$C,Partidos!$X$2,Partidos!$P:$P,"B",Partidos!$F:$F,B4)+COUNTIFS(Partidos!$C:$C,Partidos!$X$2,Partidos!$P:$P,"B",Partidos!$G:$G,B4))</f>
        <v>17</v>
      </c>
      <c r="E4" s="2">
        <f t="shared" si="1"/>
        <v>12</v>
      </c>
      <c r="F4" s="2">
        <f>IF(B4="","",SUMIFS(Partidos!$Q:$Q,Partidos!$C:$C,Partidos!$X$2,Partidos!$D:$D,B4)+SUMIFS(Partidos!$Q:$Q,Partidos!$C:$C,Partidos!$X$2,Partidos!$E:$E,B4)+SUMIFS(Partidos!$R:$R,Partidos!$C:$C,Partidos!$X$2,Partidos!$F:$F,B4)+SUMIFS(Partidos!$R:$R,Partidos!$C:$C,Partidos!$X$2,Partidos!$G:$G,B4))</f>
        <v>320</v>
      </c>
      <c r="G4" s="2">
        <f>IF(B4="","",SUMIFS(Partidos!$R:$R,Partidos!$C:$C,Partidos!$X$2,Partidos!$D:$D,B4)+SUMIFS(Partidos!$R:$R,Partidos!$C:$C,Partidos!$X$2,Partidos!$E:$E,B4)+SUMIFS(Partidos!$Q:$Q,Partidos!$C:$C,Partidos!$X$2,Partidos!$F:$F,B4)+SUMIFS(Partidos!$Q:$Q,Partidos!$C:$C,Partidos!$X$2,Partidos!$G:$G,B4))</f>
        <v>316</v>
      </c>
      <c r="H4" s="2">
        <f t="shared" si="2"/>
        <v>4</v>
      </c>
      <c r="I4" s="10">
        <f>IF(B4="","",SUMIFS(Partidos!$T:$T,Partidos!$C:$C,Partidos!$X$2,Partidos!$D:$D,B4)+SUMIFS(Partidos!$T:$T,Partidos!$C:$C,Partidos!$X$2,Partidos!$E:$E,B4)+SUMIFS(Partidos!$U:$U,Partidos!$C:$C,Partidos!$X$2,Partidos!$F:$F,B4)+SUMIFS(Partidos!$U:$U,Partidos!$C:$C,Partidos!$X$2,Partidos!$G:$G,B4))</f>
        <v>1.6</v>
      </c>
      <c r="J4" s="25">
        <f>IF(B4="","",D4*Partidos!$X$3 + E4*Partidos!$X$4 + I4)</f>
        <v>35.6</v>
      </c>
      <c r="K4" s="10">
        <f>IF(B4="","",SUMIFS(Partidos!$N:$N,Partidos!$C:$C,Partidos!$X$2,Partidos!$D:$D,B4)+SUMIFS(Partidos!$N:$N,Partidos!$C:$C,Partidos!$X$2,Partidos!$E:$E,B4)+SUMIFS(Partidos!$O:$O,Partidos!$C:$C,Partidos!$X$2,Partidos!$F:$F,B4)+SUMIFS(Partidos!$O:$O,Partidos!$C:$C,Partidos!$X$2,Partidos!$G:$G,B4))</f>
        <v>37</v>
      </c>
      <c r="L4" s="10">
        <f>IF(B4="","",SUMIFS(Partidos!$O:$O,Partidos!$C:$C,Partidos!$X$2,Partidos!$D:$D,B4)+SUMIFS(Partidos!$O:$O,Partidos!$C:$C,Partidos!$X$2,Partidos!$E:$E,B4)+SUMIFS(Partidos!$N:$N,Partidos!$C:$C,Partidos!$X$2,Partidos!$F:$F,B4)+SUMIFS(Partidos!$N:$N,Partidos!$C:$C,Partidos!$X$2,Partidos!$G:$G,B4))</f>
        <v>30</v>
      </c>
      <c r="M4" s="10">
        <f t="shared" si="3"/>
        <v>7</v>
      </c>
    </row>
    <row r="5" spans="1:13" x14ac:dyDescent="0.3">
      <c r="A5" s="2">
        <f t="shared" si="0"/>
        <v>4</v>
      </c>
      <c r="B5" s="6" t="str">
        <f>IF(Jugadores!B7="","",Jugadores!B7)</f>
        <v>Israel Suárez</v>
      </c>
      <c r="C5" s="2">
        <f>IF(B5="","",COUNTIFS(Partidos!$C:$C,Partidos!$X$2,Partidos!$D:$D,B5)+COUNTIFS(Partidos!$C:$C,Partidos!$X$2,Partidos!$E:$E,B5)+COUNTIFS(Partidos!$C:$C,Partidos!$X$2,Partidos!$F:$F,B5)+COUNTIFS(Partidos!$C:$C,Partidos!$X$2,Partidos!$G:$G,B5))</f>
        <v>20</v>
      </c>
      <c r="D5" s="2">
        <f>IF(B5="","",COUNTIFS(Partidos!$C:$C,Partidos!$X$2,Partidos!$P:$P,"A",Partidos!$D:$D,B5)+COUNTIFS(Partidos!$C:$C,Partidos!$X$2,Partidos!$P:$P,"A",Partidos!$E:$E,B5)+COUNTIFS(Partidos!$C:$C,Partidos!$X$2,Partidos!$P:$P,"B",Partidos!$F:$F,B5)+COUNTIFS(Partidos!$C:$C,Partidos!$X$2,Partidos!$P:$P,"B",Partidos!$G:$G,B5))</f>
        <v>15</v>
      </c>
      <c r="E5" s="2">
        <f t="shared" si="1"/>
        <v>5</v>
      </c>
      <c r="F5" s="2">
        <f>IF(B5="","",SUMIFS(Partidos!$Q:$Q,Partidos!$C:$C,Partidos!$X$2,Partidos!$D:$D,B5)+SUMIFS(Partidos!$Q:$Q,Partidos!$C:$C,Partidos!$X$2,Partidos!$E:$E,B5)+SUMIFS(Partidos!$R:$R,Partidos!$C:$C,Partidos!$X$2,Partidos!$F:$F,B5)+SUMIFS(Partidos!$R:$R,Partidos!$C:$C,Partidos!$X$2,Partidos!$G:$G,B5))</f>
        <v>247</v>
      </c>
      <c r="G5" s="2">
        <f>IF(B5="","",SUMIFS(Partidos!$R:$R,Partidos!$C:$C,Partidos!$X$2,Partidos!$D:$D,B5)+SUMIFS(Partidos!$R:$R,Partidos!$C:$C,Partidos!$X$2,Partidos!$E:$E,B5)+SUMIFS(Partidos!$Q:$Q,Partidos!$C:$C,Partidos!$X$2,Partidos!$F:$F,B5)+SUMIFS(Partidos!$Q:$Q,Partidos!$C:$C,Partidos!$X$2,Partidos!$G:$G,B5))</f>
        <v>211</v>
      </c>
      <c r="H5" s="2">
        <f t="shared" si="2"/>
        <v>36</v>
      </c>
      <c r="I5" s="10">
        <f>IF(B5="","",SUMIFS(Partidos!$T:$T,Partidos!$C:$C,Partidos!$X$2,Partidos!$D:$D,B5)+SUMIFS(Partidos!$T:$T,Partidos!$C:$C,Partidos!$X$2,Partidos!$E:$E,B5)+SUMIFS(Partidos!$U:$U,Partidos!$C:$C,Partidos!$X$2,Partidos!$F:$F,B5)+SUMIFS(Partidos!$U:$U,Partidos!$C:$C,Partidos!$X$2,Partidos!$G:$G,B5))</f>
        <v>1.34</v>
      </c>
      <c r="J5" s="25">
        <f>IF(B5="","",D5*Partidos!$X$3 + E5*Partidos!$X$4 + I5)</f>
        <v>31.34</v>
      </c>
      <c r="K5" s="10">
        <f>IF(B5="","",SUMIFS(Partidos!$N:$N,Partidos!$C:$C,Partidos!$X$2,Partidos!$D:$D,B5)+SUMIFS(Partidos!$N:$N,Partidos!$C:$C,Partidos!$X$2,Partidos!$E:$E,B5)+SUMIFS(Partidos!$O:$O,Partidos!$C:$C,Partidos!$X$2,Partidos!$F:$F,B5)+SUMIFS(Partidos!$O:$O,Partidos!$C:$C,Partidos!$X$2,Partidos!$G:$G,B5))</f>
        <v>31</v>
      </c>
      <c r="L5" s="10">
        <f>IF(B5="","",SUMIFS(Partidos!$O:$O,Partidos!$C:$C,Partidos!$X$2,Partidos!$D:$D,B5)+SUMIFS(Partidos!$O:$O,Partidos!$C:$C,Partidos!$X$2,Partidos!$E:$E,B5)+SUMIFS(Partidos!$N:$N,Partidos!$C:$C,Partidos!$X$2,Partidos!$F:$F,B5)+SUMIFS(Partidos!$N:$N,Partidos!$C:$C,Partidos!$X$2,Partidos!$G:$G,B5))</f>
        <v>18</v>
      </c>
      <c r="M5" s="10">
        <f t="shared" si="3"/>
        <v>13</v>
      </c>
    </row>
    <row r="6" spans="1:13" x14ac:dyDescent="0.3">
      <c r="A6" s="2">
        <f t="shared" si="0"/>
        <v>5</v>
      </c>
      <c r="B6" s="6" t="str">
        <f>IF(Jugadores!B3="","",Jugadores!B3)</f>
        <v>Imobach González</v>
      </c>
      <c r="C6" s="2">
        <f>IF(B6="","",COUNTIFS(Partidos!$C:$C,Partidos!$X$2,Partidos!$D:$D,B6)+COUNTIFS(Partidos!$C:$C,Partidos!$X$2,Partidos!$E:$E,B6)+COUNTIFS(Partidos!$C:$C,Partidos!$X$2,Partidos!$F:$F,B6)+COUNTIFS(Partidos!$C:$C,Partidos!$X$2,Partidos!$G:$G,B6))</f>
        <v>26</v>
      </c>
      <c r="D6" s="2">
        <f>IF(B6="","",COUNTIFS(Partidos!$C:$C,Partidos!$X$2,Partidos!$P:$P,"A",Partidos!$D:$D,B6)+COUNTIFS(Partidos!$C:$C,Partidos!$X$2,Partidos!$P:$P,"A",Partidos!$E:$E,B6)+COUNTIFS(Partidos!$C:$C,Partidos!$X$2,Partidos!$P:$P,"B",Partidos!$F:$F,B6)+COUNTIFS(Partidos!$C:$C,Partidos!$X$2,Partidos!$P:$P,"B",Partidos!$G:$G,B6))</f>
        <v>14</v>
      </c>
      <c r="E6" s="2">
        <f t="shared" si="1"/>
        <v>12</v>
      </c>
      <c r="F6" s="2">
        <f>IF(B6="","",SUMIFS(Partidos!$Q:$Q,Partidos!$C:$C,Partidos!$X$2,Partidos!$D:$D,B6)+SUMIFS(Partidos!$Q:$Q,Partidos!$C:$C,Partidos!$X$2,Partidos!$E:$E,B6)+SUMIFS(Partidos!$R:$R,Partidos!$C:$C,Partidos!$X$2,Partidos!$F:$F,B6)+SUMIFS(Partidos!$R:$R,Partidos!$C:$C,Partidos!$X$2,Partidos!$G:$G,B6))</f>
        <v>293</v>
      </c>
      <c r="G6" s="2">
        <f>IF(B6="","",SUMIFS(Partidos!$R:$R,Partidos!$C:$C,Partidos!$X$2,Partidos!$D:$D,B6)+SUMIFS(Partidos!$R:$R,Partidos!$C:$C,Partidos!$X$2,Partidos!$E:$E,B6)+SUMIFS(Partidos!$Q:$Q,Partidos!$C:$C,Partidos!$X$2,Partidos!$F:$F,B6)+SUMIFS(Partidos!$Q:$Q,Partidos!$C:$C,Partidos!$X$2,Partidos!$G:$G,B6))</f>
        <v>270</v>
      </c>
      <c r="H6" s="2">
        <f t="shared" si="2"/>
        <v>23</v>
      </c>
      <c r="I6" s="10">
        <f>IF(B6="","",SUMIFS(Partidos!$T:$T,Partidos!$C:$C,Partidos!$X$2,Partidos!$D:$D,B6)+SUMIFS(Partidos!$T:$T,Partidos!$C:$C,Partidos!$X$2,Partidos!$E:$E,B6)+SUMIFS(Partidos!$U:$U,Partidos!$C:$C,Partidos!$X$2,Partidos!$F:$F,B6)+SUMIFS(Partidos!$U:$U,Partidos!$C:$C,Partidos!$X$2,Partidos!$G:$G,B6))</f>
        <v>1.7200000000000002</v>
      </c>
      <c r="J6" s="25">
        <f>IF(B6="","",D6*Partidos!$X$3 + E6*Partidos!$X$4 + I6)</f>
        <v>29.72</v>
      </c>
      <c r="K6" s="10">
        <f>IF(B6="","",SUMIFS(Partidos!$N:$N,Partidos!$C:$C,Partidos!$X$2,Partidos!$D:$D,B6)+SUMIFS(Partidos!$N:$N,Partidos!$C:$C,Partidos!$X$2,Partidos!$E:$E,B6)+SUMIFS(Partidos!$O:$O,Partidos!$C:$C,Partidos!$X$2,Partidos!$F:$F,B6)+SUMIFS(Partidos!$O:$O,Partidos!$C:$C,Partidos!$X$2,Partidos!$G:$G,B6))</f>
        <v>33</v>
      </c>
      <c r="L6" s="10">
        <f>IF(B6="","",SUMIFS(Partidos!$O:$O,Partidos!$C:$C,Partidos!$X$2,Partidos!$D:$D,B6)+SUMIFS(Partidos!$O:$O,Partidos!$C:$C,Partidos!$X$2,Partidos!$E:$E,B6)+SUMIFS(Partidos!$N:$N,Partidos!$C:$C,Partidos!$X$2,Partidos!$F:$F,B6)+SUMIFS(Partidos!$N:$N,Partidos!$C:$C,Partidos!$X$2,Partidos!$G:$G,B6))</f>
        <v>27</v>
      </c>
      <c r="M6" s="10">
        <f t="shared" si="3"/>
        <v>6</v>
      </c>
    </row>
    <row r="7" spans="1:13" x14ac:dyDescent="0.3">
      <c r="A7" s="2">
        <f t="shared" si="0"/>
        <v>6</v>
      </c>
      <c r="B7" s="6" t="str">
        <f>IF(Jugadores!B13="","",Jugadores!B13)</f>
        <v>Guillermo Medina</v>
      </c>
      <c r="C7" s="2">
        <f>IF(B7="","",COUNTIFS(Partidos!$C:$C,Partidos!$X$2,Partidos!$D:$D,B7)+COUNTIFS(Partidos!$C:$C,Partidos!$X$2,Partidos!$E:$E,B7)+COUNTIFS(Partidos!$C:$C,Partidos!$X$2,Partidos!$F:$F,B7)+COUNTIFS(Partidos!$C:$C,Partidos!$X$2,Partidos!$G:$G,B7))</f>
        <v>20</v>
      </c>
      <c r="D7" s="2">
        <f>IF(B7="","",COUNTIFS(Partidos!$C:$C,Partidos!$X$2,Partidos!$P:$P,"A",Partidos!$D:$D,B7)+COUNTIFS(Partidos!$C:$C,Partidos!$X$2,Partidos!$P:$P,"A",Partidos!$E:$E,B7)+COUNTIFS(Partidos!$C:$C,Partidos!$X$2,Partidos!$P:$P,"B",Partidos!$F:$F,B7)+COUNTIFS(Partidos!$C:$C,Partidos!$X$2,Partidos!$P:$P,"B",Partidos!$G:$G,B7))</f>
        <v>9</v>
      </c>
      <c r="E7" s="2">
        <f t="shared" si="1"/>
        <v>11</v>
      </c>
      <c r="F7" s="2">
        <f>IF(B7="","",SUMIFS(Partidos!$Q:$Q,Partidos!$C:$C,Partidos!$X$2,Partidos!$D:$D,B7)+SUMIFS(Partidos!$Q:$Q,Partidos!$C:$C,Partidos!$X$2,Partidos!$E:$E,B7)+SUMIFS(Partidos!$R:$R,Partidos!$C:$C,Partidos!$X$2,Partidos!$F:$F,B7)+SUMIFS(Partidos!$R:$R,Partidos!$C:$C,Partidos!$X$2,Partidos!$G:$G,B7))</f>
        <v>194</v>
      </c>
      <c r="G7" s="2">
        <f>IF(B7="","",SUMIFS(Partidos!$R:$R,Partidos!$C:$C,Partidos!$X$2,Partidos!$D:$D,B7)+SUMIFS(Partidos!$R:$R,Partidos!$C:$C,Partidos!$X$2,Partidos!$E:$E,B7)+SUMIFS(Partidos!$Q:$Q,Partidos!$C:$C,Partidos!$X$2,Partidos!$F:$F,B7)+SUMIFS(Partidos!$Q:$Q,Partidos!$C:$C,Partidos!$X$2,Partidos!$G:$G,B7))</f>
        <v>215</v>
      </c>
      <c r="H7" s="2">
        <f t="shared" si="2"/>
        <v>-21</v>
      </c>
      <c r="I7" s="10">
        <f>IF(B7="","",SUMIFS(Partidos!$T:$T,Partidos!$C:$C,Partidos!$X$2,Partidos!$D:$D,B7)+SUMIFS(Partidos!$T:$T,Partidos!$C:$C,Partidos!$X$2,Partidos!$E:$E,B7)+SUMIFS(Partidos!$U:$U,Partidos!$C:$C,Partidos!$X$2,Partidos!$F:$F,B7)+SUMIFS(Partidos!$U:$U,Partidos!$C:$C,Partidos!$X$2,Partidos!$G:$G,B7))</f>
        <v>1</v>
      </c>
      <c r="J7" s="25">
        <f>IF(B7="","",D7*Partidos!$X$3 + E7*Partidos!$X$4 + I7)</f>
        <v>19</v>
      </c>
      <c r="K7" s="10">
        <f>IF(B7="","",SUMIFS(Partidos!$N:$N,Partidos!$C:$C,Partidos!$X$2,Partidos!$D:$D,B7)+SUMIFS(Partidos!$N:$N,Partidos!$C:$C,Partidos!$X$2,Partidos!$E:$E,B7)+SUMIFS(Partidos!$O:$O,Partidos!$C:$C,Partidos!$X$2,Partidos!$F:$F,B7)+SUMIFS(Partidos!$O:$O,Partidos!$C:$C,Partidos!$X$2,Partidos!$G:$G,B7))</f>
        <v>22</v>
      </c>
      <c r="L7" s="10">
        <f>IF(B7="","",SUMIFS(Partidos!$O:$O,Partidos!$C:$C,Partidos!$X$2,Partidos!$D:$D,B7)+SUMIFS(Partidos!$O:$O,Partidos!$C:$C,Partidos!$X$2,Partidos!$E:$E,B7)+SUMIFS(Partidos!$N:$N,Partidos!$C:$C,Partidos!$X$2,Partidos!$F:$F,B7)+SUMIFS(Partidos!$N:$N,Partidos!$C:$C,Partidos!$X$2,Partidos!$G:$G,B7))</f>
        <v>25</v>
      </c>
      <c r="M7" s="10">
        <f t="shared" si="3"/>
        <v>-3</v>
      </c>
    </row>
    <row r="8" spans="1:13" x14ac:dyDescent="0.3">
      <c r="A8" s="2">
        <f t="shared" si="0"/>
        <v>7</v>
      </c>
      <c r="B8" s="6" t="str">
        <f>IF(Jugadores!B15="","",Jugadores!B15)</f>
        <v>Nacho Navidad</v>
      </c>
      <c r="C8" s="2">
        <f>IF(B8="","",COUNTIFS(Partidos!$C:$C,Partidos!$X$2,Partidos!$D:$D,B8)+COUNTIFS(Partidos!$C:$C,Partidos!$X$2,Partidos!$E:$E,B8)+COUNTIFS(Partidos!$C:$C,Partidos!$X$2,Partidos!$F:$F,B8)+COUNTIFS(Partidos!$C:$C,Partidos!$X$2,Partidos!$G:$G,B8))</f>
        <v>25</v>
      </c>
      <c r="D8" s="2">
        <f>IF(B8="","",COUNTIFS(Partidos!$C:$C,Partidos!$X$2,Partidos!$P:$P,"A",Partidos!$D:$D,B8)+COUNTIFS(Partidos!$C:$C,Partidos!$X$2,Partidos!$P:$P,"A",Partidos!$E:$E,B8)+COUNTIFS(Partidos!$C:$C,Partidos!$X$2,Partidos!$P:$P,"B",Partidos!$F:$F,B8)+COUNTIFS(Partidos!$C:$C,Partidos!$X$2,Partidos!$P:$P,"B",Partidos!$G:$G,B8))</f>
        <v>8</v>
      </c>
      <c r="E8" s="2">
        <f t="shared" si="1"/>
        <v>17</v>
      </c>
      <c r="F8" s="2">
        <f>IF(B8="","",SUMIFS(Partidos!$Q:$Q,Partidos!$C:$C,Partidos!$X$2,Partidos!$D:$D,B8)+SUMIFS(Partidos!$Q:$Q,Partidos!$C:$C,Partidos!$X$2,Partidos!$E:$E,B8)+SUMIFS(Partidos!$R:$R,Partidos!$C:$C,Partidos!$X$2,Partidos!$F:$F,B8)+SUMIFS(Partidos!$R:$R,Partidos!$C:$C,Partidos!$X$2,Partidos!$G:$G,B8))</f>
        <v>239</v>
      </c>
      <c r="G8" s="2">
        <f>IF(B8="","",SUMIFS(Partidos!$R:$R,Partidos!$C:$C,Partidos!$X$2,Partidos!$D:$D,B8)+SUMIFS(Partidos!$R:$R,Partidos!$C:$C,Partidos!$X$2,Partidos!$E:$E,B8)+SUMIFS(Partidos!$Q:$Q,Partidos!$C:$C,Partidos!$X$2,Partidos!$F:$F,B8)+SUMIFS(Partidos!$Q:$Q,Partidos!$C:$C,Partidos!$X$2,Partidos!$G:$G,B8))</f>
        <v>288</v>
      </c>
      <c r="H8" s="2">
        <f t="shared" si="2"/>
        <v>-49</v>
      </c>
      <c r="I8" s="10">
        <f>IF(B8="","",SUMIFS(Partidos!$T:$T,Partidos!$C:$C,Partidos!$X$2,Partidos!$D:$D,B8)+SUMIFS(Partidos!$T:$T,Partidos!$C:$C,Partidos!$X$2,Partidos!$E:$E,B8)+SUMIFS(Partidos!$U:$U,Partidos!$C:$C,Partidos!$X$2,Partidos!$F:$F,B8)+SUMIFS(Partidos!$U:$U,Partidos!$C:$C,Partidos!$X$2,Partidos!$G:$G,B8))</f>
        <v>0.9</v>
      </c>
      <c r="J8" s="25">
        <f>IF(B8="","",D8*Partidos!$X$3 + E8*Partidos!$X$4 + I8)</f>
        <v>16.899999999999999</v>
      </c>
      <c r="K8" s="10">
        <f>IF(B8="","",SUMIFS(Partidos!$N:$N,Partidos!$C:$C,Partidos!$X$2,Partidos!$D:$D,B8)+SUMIFS(Partidos!$N:$N,Partidos!$C:$C,Partidos!$X$2,Partidos!$E:$E,B8)+SUMIFS(Partidos!$O:$O,Partidos!$C:$C,Partidos!$X$2,Partidos!$F:$F,B8)+SUMIFS(Partidos!$O:$O,Partidos!$C:$C,Partidos!$X$2,Partidos!$G:$G,B8))</f>
        <v>20</v>
      </c>
      <c r="L8" s="10">
        <f>IF(B8="","",SUMIFS(Partidos!$O:$O,Partidos!$C:$C,Partidos!$X$2,Partidos!$D:$D,B8)+SUMIFS(Partidos!$O:$O,Partidos!$C:$C,Partidos!$X$2,Partidos!$E:$E,B8)+SUMIFS(Partidos!$N:$N,Partidos!$C:$C,Partidos!$X$2,Partidos!$F:$F,B8)+SUMIFS(Partidos!$N:$N,Partidos!$C:$C,Partidos!$X$2,Partidos!$G:$G,B8))</f>
        <v>37</v>
      </c>
      <c r="M8" s="10">
        <f t="shared" si="3"/>
        <v>-17</v>
      </c>
    </row>
    <row r="9" spans="1:13" x14ac:dyDescent="0.3">
      <c r="A9" s="2">
        <f t="shared" si="0"/>
        <v>8</v>
      </c>
      <c r="B9" s="6" t="str">
        <f>IF(Jugadores!B9="","",Jugadores!B9)</f>
        <v>Alberto Pulido</v>
      </c>
      <c r="C9" s="2">
        <f>IF(B9="","",COUNTIFS(Partidos!$C:$C,Partidos!$X$2,Partidos!$D:$D,B9)+COUNTIFS(Partidos!$C:$C,Partidos!$X$2,Partidos!$E:$E,B9)+COUNTIFS(Partidos!$C:$C,Partidos!$X$2,Partidos!$F:$F,B9)+COUNTIFS(Partidos!$C:$C,Partidos!$X$2,Partidos!$G:$G,B9))</f>
        <v>14</v>
      </c>
      <c r="D9" s="2">
        <f>IF(B9="","",COUNTIFS(Partidos!$C:$C,Partidos!$X$2,Partidos!$P:$P,"A",Partidos!$D:$D,B9)+COUNTIFS(Partidos!$C:$C,Partidos!$X$2,Partidos!$P:$P,"A",Partidos!$E:$E,B9)+COUNTIFS(Partidos!$C:$C,Partidos!$X$2,Partidos!$P:$P,"B",Partidos!$F:$F,B9)+COUNTIFS(Partidos!$C:$C,Partidos!$X$2,Partidos!$P:$P,"B",Partidos!$G:$G,B9))</f>
        <v>7</v>
      </c>
      <c r="E9" s="2">
        <f t="shared" si="1"/>
        <v>7</v>
      </c>
      <c r="F9" s="2">
        <f>IF(B9="","",SUMIFS(Partidos!$Q:$Q,Partidos!$C:$C,Partidos!$X$2,Partidos!$D:$D,B9)+SUMIFS(Partidos!$Q:$Q,Partidos!$C:$C,Partidos!$X$2,Partidos!$E:$E,B9)+SUMIFS(Partidos!$R:$R,Partidos!$C:$C,Partidos!$X$2,Partidos!$F:$F,B9)+SUMIFS(Partidos!$R:$R,Partidos!$C:$C,Partidos!$X$2,Partidos!$G:$G,B9))</f>
        <v>152</v>
      </c>
      <c r="G9" s="2">
        <f>IF(B9="","",SUMIFS(Partidos!$R:$R,Partidos!$C:$C,Partidos!$X$2,Partidos!$D:$D,B9)+SUMIFS(Partidos!$R:$R,Partidos!$C:$C,Partidos!$X$2,Partidos!$E:$E,B9)+SUMIFS(Partidos!$Q:$Q,Partidos!$C:$C,Partidos!$X$2,Partidos!$F:$F,B9)+SUMIFS(Partidos!$Q:$Q,Partidos!$C:$C,Partidos!$X$2,Partidos!$G:$G,B9))</f>
        <v>148</v>
      </c>
      <c r="H9" s="2">
        <f t="shared" si="2"/>
        <v>4</v>
      </c>
      <c r="I9" s="10">
        <f>IF(B9="","",SUMIFS(Partidos!$T:$T,Partidos!$C:$C,Partidos!$X$2,Partidos!$D:$D,B9)+SUMIFS(Partidos!$T:$T,Partidos!$C:$C,Partidos!$X$2,Partidos!$E:$E,B9)+SUMIFS(Partidos!$U:$U,Partidos!$C:$C,Partidos!$X$2,Partidos!$F:$F,B9)+SUMIFS(Partidos!$U:$U,Partidos!$C:$C,Partidos!$X$2,Partidos!$G:$G,B9))</f>
        <v>0.84000000000000008</v>
      </c>
      <c r="J9" s="25">
        <f>IF(B9="","",D9*Partidos!$X$3 + E9*Partidos!$X$4 + I9)</f>
        <v>14.84</v>
      </c>
      <c r="K9" s="10">
        <f>IF(B9="","",SUMIFS(Partidos!$N:$N,Partidos!$C:$C,Partidos!$X$2,Partidos!$D:$D,B9)+SUMIFS(Partidos!$N:$N,Partidos!$C:$C,Partidos!$X$2,Partidos!$E:$E,B9)+SUMIFS(Partidos!$O:$O,Partidos!$C:$C,Partidos!$X$2,Partidos!$F:$F,B9)+SUMIFS(Partidos!$O:$O,Partidos!$C:$C,Partidos!$X$2,Partidos!$G:$G,B9))</f>
        <v>16</v>
      </c>
      <c r="L9" s="10">
        <f>IF(B9="","",SUMIFS(Partidos!$O:$O,Partidos!$C:$C,Partidos!$X$2,Partidos!$D:$D,B9)+SUMIFS(Partidos!$O:$O,Partidos!$C:$C,Partidos!$X$2,Partidos!$E:$E,B9)+SUMIFS(Partidos!$N:$N,Partidos!$C:$C,Partidos!$X$2,Partidos!$F:$F,B9)+SUMIFS(Partidos!$N:$N,Partidos!$C:$C,Partidos!$X$2,Partidos!$G:$G,B9))</f>
        <v>18</v>
      </c>
      <c r="M9" s="10">
        <f t="shared" si="3"/>
        <v>-2</v>
      </c>
    </row>
    <row r="10" spans="1:13" x14ac:dyDescent="0.3">
      <c r="A10" s="2">
        <f t="shared" si="0"/>
        <v>9</v>
      </c>
      <c r="B10" s="6" t="str">
        <f>IF(Jugadores!B14="","",Jugadores!B14)</f>
        <v>Eva Pulido</v>
      </c>
      <c r="C10" s="2">
        <f>IF(B10="","",COUNTIFS(Partidos!$C:$C,Partidos!$X$2,Partidos!$D:$D,B10)+COUNTIFS(Partidos!$C:$C,Partidos!$X$2,Partidos!$E:$E,B10)+COUNTIFS(Partidos!$C:$C,Partidos!$X$2,Partidos!$F:$F,B10)+COUNTIFS(Partidos!$C:$C,Partidos!$X$2,Partidos!$G:$G,B10))</f>
        <v>18</v>
      </c>
      <c r="D10" s="2">
        <f>IF(B10="","",COUNTIFS(Partidos!$C:$C,Partidos!$X$2,Partidos!$P:$P,"A",Partidos!$D:$D,B10)+COUNTIFS(Partidos!$C:$C,Partidos!$X$2,Partidos!$P:$P,"A",Partidos!$E:$E,B10)+COUNTIFS(Partidos!$C:$C,Partidos!$X$2,Partidos!$P:$P,"B",Partidos!$F:$F,B10)+COUNTIFS(Partidos!$C:$C,Partidos!$X$2,Partidos!$P:$P,"B",Partidos!$G:$G,B10))</f>
        <v>7</v>
      </c>
      <c r="E10" s="2">
        <f t="shared" si="1"/>
        <v>11</v>
      </c>
      <c r="F10" s="2">
        <f>IF(B10="","",SUMIFS(Partidos!$Q:$Q,Partidos!$C:$C,Partidos!$X$2,Partidos!$D:$D,B10)+SUMIFS(Partidos!$Q:$Q,Partidos!$C:$C,Partidos!$X$2,Partidos!$E:$E,B10)+SUMIFS(Partidos!$R:$R,Partidos!$C:$C,Partidos!$X$2,Partidos!$F:$F,B10)+SUMIFS(Partidos!$R:$R,Partidos!$C:$C,Partidos!$X$2,Partidos!$G:$G,B10))</f>
        <v>175</v>
      </c>
      <c r="G10" s="2">
        <f>IF(B10="","",SUMIFS(Partidos!$R:$R,Partidos!$C:$C,Partidos!$X$2,Partidos!$D:$D,B10)+SUMIFS(Partidos!$R:$R,Partidos!$C:$C,Partidos!$X$2,Partidos!$E:$E,B10)+SUMIFS(Partidos!$Q:$Q,Partidos!$C:$C,Partidos!$X$2,Partidos!$F:$F,B10)+SUMIFS(Partidos!$Q:$Q,Partidos!$C:$C,Partidos!$X$2,Partidos!$G:$G,B10))</f>
        <v>202</v>
      </c>
      <c r="H10" s="2">
        <f t="shared" si="2"/>
        <v>-27</v>
      </c>
      <c r="I10" s="10">
        <f>IF(B10="","",SUMIFS(Partidos!$T:$T,Partidos!$C:$C,Partidos!$X$2,Partidos!$D:$D,B10)+SUMIFS(Partidos!$T:$T,Partidos!$C:$C,Partidos!$X$2,Partidos!$E:$E,B10)+SUMIFS(Partidos!$U:$U,Partidos!$C:$C,Partidos!$X$2,Partidos!$F:$F,B10)+SUMIFS(Partidos!$U:$U,Partidos!$C:$C,Partidos!$X$2,Partidos!$G:$G,B10))</f>
        <v>0.72000000000000008</v>
      </c>
      <c r="J10" s="25">
        <f>IF(B10="","",D10*Partidos!$X$3 + E10*Partidos!$X$4 + I10)</f>
        <v>14.72</v>
      </c>
      <c r="K10" s="10">
        <f>IF(B10="","",SUMIFS(Partidos!$N:$N,Partidos!$C:$C,Partidos!$X$2,Partidos!$D:$D,B10)+SUMIFS(Partidos!$N:$N,Partidos!$C:$C,Partidos!$X$2,Partidos!$E:$E,B10)+SUMIFS(Partidos!$O:$O,Partidos!$C:$C,Partidos!$X$2,Partidos!$F:$F,B10)+SUMIFS(Partidos!$O:$O,Partidos!$C:$C,Partidos!$X$2,Partidos!$G:$G,B10))</f>
        <v>19</v>
      </c>
      <c r="L10" s="10">
        <f>IF(B10="","",SUMIFS(Partidos!$O:$O,Partidos!$C:$C,Partidos!$X$2,Partidos!$D:$D,B10)+SUMIFS(Partidos!$O:$O,Partidos!$C:$C,Partidos!$X$2,Partidos!$E:$E,B10)+SUMIFS(Partidos!$N:$N,Partidos!$C:$C,Partidos!$X$2,Partidos!$F:$F,B10)+SUMIFS(Partidos!$N:$N,Partidos!$C:$C,Partidos!$X$2,Partidos!$G:$G,B10))</f>
        <v>24</v>
      </c>
      <c r="M10" s="10">
        <f t="shared" si="3"/>
        <v>-5</v>
      </c>
    </row>
    <row r="11" spans="1:13" x14ac:dyDescent="0.3">
      <c r="A11" s="2">
        <f t="shared" si="0"/>
        <v>10</v>
      </c>
      <c r="B11" s="6" t="str">
        <f>IF(Jugadores!B16="","",Jugadores!B16)</f>
        <v>Alberto Nunes</v>
      </c>
      <c r="C11" s="2">
        <f>IF(B11="","",COUNTIFS(Partidos!$C:$C,Partidos!$X$2,Partidos!$D:$D,B11)+COUNTIFS(Partidos!$C:$C,Partidos!$X$2,Partidos!$E:$E,B11)+COUNTIFS(Partidos!$C:$C,Partidos!$X$2,Partidos!$F:$F,B11)+COUNTIFS(Partidos!$C:$C,Partidos!$X$2,Partidos!$G:$G,B11))</f>
        <v>16</v>
      </c>
      <c r="D11" s="2">
        <f>IF(B11="","",COUNTIFS(Partidos!$C:$C,Partidos!$X$2,Partidos!$P:$P,"A",Partidos!$D:$D,B11)+COUNTIFS(Partidos!$C:$C,Partidos!$X$2,Partidos!$P:$P,"A",Partidos!$E:$E,B11)+COUNTIFS(Partidos!$C:$C,Partidos!$X$2,Partidos!$P:$P,"B",Partidos!$F:$F,B11)+COUNTIFS(Partidos!$C:$C,Partidos!$X$2,Partidos!$P:$P,"B",Partidos!$G:$G,B11))</f>
        <v>6</v>
      </c>
      <c r="E11" s="2">
        <f t="shared" si="1"/>
        <v>10</v>
      </c>
      <c r="F11" s="2">
        <f>IF(B11="","",SUMIFS(Partidos!$Q:$Q,Partidos!$C:$C,Partidos!$X$2,Partidos!$D:$D,B11)+SUMIFS(Partidos!$Q:$Q,Partidos!$C:$C,Partidos!$X$2,Partidos!$E:$E,B11)+SUMIFS(Partidos!$R:$R,Partidos!$C:$C,Partidos!$X$2,Partidos!$F:$F,B11)+SUMIFS(Partidos!$R:$R,Partidos!$C:$C,Partidos!$X$2,Partidos!$G:$G,B11))</f>
        <v>162</v>
      </c>
      <c r="G11" s="2">
        <f>IF(B11="","",SUMIFS(Partidos!$R:$R,Partidos!$C:$C,Partidos!$X$2,Partidos!$D:$D,B11)+SUMIFS(Partidos!$R:$R,Partidos!$C:$C,Partidos!$X$2,Partidos!$E:$E,B11)+SUMIFS(Partidos!$Q:$Q,Partidos!$C:$C,Partidos!$X$2,Partidos!$F:$F,B11)+SUMIFS(Partidos!$Q:$Q,Partidos!$C:$C,Partidos!$X$2,Partidos!$G:$G,B11))</f>
        <v>186</v>
      </c>
      <c r="H11" s="2">
        <f t="shared" si="2"/>
        <v>-24</v>
      </c>
      <c r="I11" s="10">
        <f>IF(B11="","",SUMIFS(Partidos!$T:$T,Partidos!$C:$C,Partidos!$X$2,Partidos!$D:$D,B11)+SUMIFS(Partidos!$T:$T,Partidos!$C:$C,Partidos!$X$2,Partidos!$E:$E,B11)+SUMIFS(Partidos!$U:$U,Partidos!$C:$C,Partidos!$X$2,Partidos!$F:$F,B11)+SUMIFS(Partidos!$U:$U,Partidos!$C:$C,Partidos!$X$2,Partidos!$G:$G,B11))</f>
        <v>0.72</v>
      </c>
      <c r="J11" s="25">
        <f>IF(B11="","",D11*Partidos!$X$3 + E11*Partidos!$X$4 + I11)</f>
        <v>12.72</v>
      </c>
      <c r="K11" s="10">
        <f>IF(B11="","",SUMIFS(Partidos!$N:$N,Partidos!$C:$C,Partidos!$X$2,Partidos!$D:$D,B11)+SUMIFS(Partidos!$N:$N,Partidos!$C:$C,Partidos!$X$2,Partidos!$E:$E,B11)+SUMIFS(Partidos!$O:$O,Partidos!$C:$C,Partidos!$X$2,Partidos!$F:$F,B11)+SUMIFS(Partidos!$O:$O,Partidos!$C:$C,Partidos!$X$2,Partidos!$G:$G,B11))</f>
        <v>14</v>
      </c>
      <c r="L11" s="10">
        <f>IF(B11="","",SUMIFS(Partidos!$O:$O,Partidos!$C:$C,Partidos!$X$2,Partidos!$D:$D,B11)+SUMIFS(Partidos!$O:$O,Partidos!$C:$C,Partidos!$X$2,Partidos!$E:$E,B11)+SUMIFS(Partidos!$N:$N,Partidos!$C:$C,Partidos!$X$2,Partidos!$F:$F,B11)+SUMIFS(Partidos!$N:$N,Partidos!$C:$C,Partidos!$X$2,Partidos!$G:$G,B11))</f>
        <v>23</v>
      </c>
      <c r="M11" s="10">
        <f t="shared" si="3"/>
        <v>-9</v>
      </c>
    </row>
    <row r="12" spans="1:13" x14ac:dyDescent="0.3">
      <c r="A12" s="2">
        <f t="shared" si="0"/>
        <v>11</v>
      </c>
      <c r="B12" s="6" t="str">
        <f>IF(Jugadores!B17="","",Jugadores!B17)</f>
        <v>Yeray Armas</v>
      </c>
      <c r="C12" s="2">
        <f>IF(B12="","",COUNTIFS(Partidos!$C:$C,Partidos!$X$2,Partidos!$D:$D,B12)+COUNTIFS(Partidos!$C:$C,Partidos!$X$2,Partidos!$E:$E,B12)+COUNTIFS(Partidos!$C:$C,Partidos!$X$2,Partidos!$F:$F,B12)+COUNTIFS(Partidos!$C:$C,Partidos!$X$2,Partidos!$G:$G,B12))</f>
        <v>32</v>
      </c>
      <c r="D12" s="2">
        <f>IF(B12="","",COUNTIFS(Partidos!$C:$C,Partidos!$X$2,Partidos!$P:$P,"A",Partidos!$D:$D,B12)+COUNTIFS(Partidos!$C:$C,Partidos!$X$2,Partidos!$P:$P,"A",Partidos!$E:$E,B12)+COUNTIFS(Partidos!$C:$C,Partidos!$X$2,Partidos!$P:$P,"B",Partidos!$F:$F,B12)+COUNTIFS(Partidos!$C:$C,Partidos!$X$2,Partidos!$P:$P,"B",Partidos!$G:$G,B12))</f>
        <v>6</v>
      </c>
      <c r="E12" s="2">
        <f t="shared" si="1"/>
        <v>26</v>
      </c>
      <c r="F12" s="2">
        <f>IF(B12="","",SUMIFS(Partidos!$Q:$Q,Partidos!$C:$C,Partidos!$X$2,Partidos!$D:$D,B12)+SUMIFS(Partidos!$Q:$Q,Partidos!$C:$C,Partidos!$X$2,Partidos!$E:$E,B12)+SUMIFS(Partidos!$R:$R,Partidos!$C:$C,Partidos!$X$2,Partidos!$F:$F,B12)+SUMIFS(Partidos!$R:$R,Partidos!$C:$C,Partidos!$X$2,Partidos!$G:$G,B12))</f>
        <v>281</v>
      </c>
      <c r="G12" s="2">
        <f>IF(B12="","",SUMIFS(Partidos!$R:$R,Partidos!$C:$C,Partidos!$X$2,Partidos!$D:$D,B12)+SUMIFS(Partidos!$R:$R,Partidos!$C:$C,Partidos!$X$2,Partidos!$E:$E,B12)+SUMIFS(Partidos!$Q:$Q,Partidos!$C:$C,Partidos!$X$2,Partidos!$F:$F,B12)+SUMIFS(Partidos!$Q:$Q,Partidos!$C:$C,Partidos!$X$2,Partidos!$G:$G,B12))</f>
        <v>414</v>
      </c>
      <c r="H12" s="2">
        <f t="shared" si="2"/>
        <v>-133</v>
      </c>
      <c r="I12" s="10">
        <f>IF(B12="","",SUMIFS(Partidos!$T:$T,Partidos!$C:$C,Partidos!$X$2,Partidos!$D:$D,B12)+SUMIFS(Partidos!$T:$T,Partidos!$C:$C,Partidos!$X$2,Partidos!$E:$E,B12)+SUMIFS(Partidos!$U:$U,Partidos!$C:$C,Partidos!$X$2,Partidos!$F:$F,B12)+SUMIFS(Partidos!$U:$U,Partidos!$C:$C,Partidos!$X$2,Partidos!$G:$G,B12))</f>
        <v>0.42</v>
      </c>
      <c r="J12" s="25">
        <f>IF(B12="","",D12*Partidos!$X$3 + E12*Partidos!$X$4 + I12)</f>
        <v>12.42</v>
      </c>
      <c r="K12" s="10">
        <f>IF(B12="","",SUMIFS(Partidos!$N:$N,Partidos!$C:$C,Partidos!$X$2,Partidos!$D:$D,B12)+SUMIFS(Partidos!$N:$N,Partidos!$C:$C,Partidos!$X$2,Partidos!$E:$E,B12)+SUMIFS(Partidos!$O:$O,Partidos!$C:$C,Partidos!$X$2,Partidos!$F:$F,B12)+SUMIFS(Partidos!$O:$O,Partidos!$C:$C,Partidos!$X$2,Partidos!$G:$G,B12))</f>
        <v>21</v>
      </c>
      <c r="L12" s="10">
        <f>IF(B12="","",SUMIFS(Partidos!$O:$O,Partidos!$C:$C,Partidos!$X$2,Partidos!$D:$D,B12)+SUMIFS(Partidos!$O:$O,Partidos!$C:$C,Partidos!$X$2,Partidos!$E:$E,B12)+SUMIFS(Partidos!$N:$N,Partidos!$C:$C,Partidos!$X$2,Partidos!$F:$F,B12)+SUMIFS(Partidos!$N:$N,Partidos!$C:$C,Partidos!$X$2,Partidos!$G:$G,B12))</f>
        <v>55</v>
      </c>
      <c r="M12" s="10">
        <f t="shared" si="3"/>
        <v>-34</v>
      </c>
    </row>
    <row r="13" spans="1:13" x14ac:dyDescent="0.3">
      <c r="A13" s="2">
        <f t="shared" si="0"/>
        <v>12</v>
      </c>
      <c r="B13" s="6" t="str">
        <f>IF(Jugadores!B8="","",Jugadores!B8)</f>
        <v>Cristo Marrero</v>
      </c>
      <c r="C13" s="2">
        <f>IF(B13="","",COUNTIFS(Partidos!$C:$C,Partidos!$X$2,Partidos!$D:$D,B13)+COUNTIFS(Partidos!$C:$C,Partidos!$X$2,Partidos!$E:$E,B13)+COUNTIFS(Partidos!$C:$C,Partidos!$X$2,Partidos!$F:$F,B13)+COUNTIFS(Partidos!$C:$C,Partidos!$X$2,Partidos!$G:$G,B13))</f>
        <v>11</v>
      </c>
      <c r="D13" s="2">
        <f>IF(B13="","",COUNTIFS(Partidos!$C:$C,Partidos!$X$2,Partidos!$P:$P,"A",Partidos!$D:$D,B13)+COUNTIFS(Partidos!$C:$C,Partidos!$X$2,Partidos!$P:$P,"A",Partidos!$E:$E,B13)+COUNTIFS(Partidos!$C:$C,Partidos!$X$2,Partidos!$P:$P,"B",Partidos!$F:$F,B13)+COUNTIFS(Partidos!$C:$C,Partidos!$X$2,Partidos!$P:$P,"B",Partidos!$G:$G,B13))</f>
        <v>5</v>
      </c>
      <c r="E13" s="2">
        <f t="shared" si="1"/>
        <v>6</v>
      </c>
      <c r="F13" s="2">
        <f>IF(B13="","",SUMIFS(Partidos!$Q:$Q,Partidos!$C:$C,Partidos!$X$2,Partidos!$D:$D,B13)+SUMIFS(Partidos!$Q:$Q,Partidos!$C:$C,Partidos!$X$2,Partidos!$E:$E,B13)+SUMIFS(Partidos!$R:$R,Partidos!$C:$C,Partidos!$X$2,Partidos!$F:$F,B13)+SUMIFS(Partidos!$R:$R,Partidos!$C:$C,Partidos!$X$2,Partidos!$G:$G,B13))</f>
        <v>106</v>
      </c>
      <c r="G13" s="2">
        <f>IF(B13="","",SUMIFS(Partidos!$R:$R,Partidos!$C:$C,Partidos!$X$2,Partidos!$D:$D,B13)+SUMIFS(Partidos!$R:$R,Partidos!$C:$C,Partidos!$X$2,Partidos!$E:$E,B13)+SUMIFS(Partidos!$Q:$Q,Partidos!$C:$C,Partidos!$X$2,Partidos!$F:$F,B13)+SUMIFS(Partidos!$Q:$Q,Partidos!$C:$C,Partidos!$X$2,Partidos!$G:$G,B13))</f>
        <v>105</v>
      </c>
      <c r="H13" s="2">
        <f t="shared" si="2"/>
        <v>1</v>
      </c>
      <c r="I13" s="10">
        <f>IF(B13="","",SUMIFS(Partidos!$T:$T,Partidos!$C:$C,Partidos!$X$2,Partidos!$D:$D,B13)+SUMIFS(Partidos!$T:$T,Partidos!$C:$C,Partidos!$X$2,Partidos!$E:$E,B13)+SUMIFS(Partidos!$U:$U,Partidos!$C:$C,Partidos!$X$2,Partidos!$F:$F,B13)+SUMIFS(Partidos!$U:$U,Partidos!$C:$C,Partidos!$X$2,Partidos!$G:$G,B13))</f>
        <v>0.66</v>
      </c>
      <c r="J13" s="25">
        <f>IF(B13="","",D13*Partidos!$X$3 + E13*Partidos!$X$4 + I13)</f>
        <v>10.66</v>
      </c>
      <c r="K13" s="10">
        <f>IF(B13="","",SUMIFS(Partidos!$N:$N,Partidos!$C:$C,Partidos!$X$2,Partidos!$D:$D,B13)+SUMIFS(Partidos!$N:$N,Partidos!$C:$C,Partidos!$X$2,Partidos!$E:$E,B13)+SUMIFS(Partidos!$O:$O,Partidos!$C:$C,Partidos!$X$2,Partidos!$F:$F,B13)+SUMIFS(Partidos!$O:$O,Partidos!$C:$C,Partidos!$X$2,Partidos!$G:$G,B13))</f>
        <v>11</v>
      </c>
      <c r="L13" s="10">
        <f>IF(B13="","",SUMIFS(Partidos!$O:$O,Partidos!$C:$C,Partidos!$X$2,Partidos!$D:$D,B13)+SUMIFS(Partidos!$O:$O,Partidos!$C:$C,Partidos!$X$2,Partidos!$E:$E,B13)+SUMIFS(Partidos!$N:$N,Partidos!$C:$C,Partidos!$X$2,Partidos!$F:$F,B13)+SUMIFS(Partidos!$N:$N,Partidos!$C:$C,Partidos!$X$2,Partidos!$G:$G,B13))</f>
        <v>12</v>
      </c>
      <c r="M13" s="10">
        <f t="shared" si="3"/>
        <v>-1</v>
      </c>
    </row>
    <row r="14" spans="1:13" x14ac:dyDescent="0.3">
      <c r="A14" s="2">
        <f t="shared" si="0"/>
        <v>13</v>
      </c>
      <c r="B14" s="6" t="str">
        <f>IF(Jugadores!B5="","",Jugadores!B5)</f>
        <v>César Morales</v>
      </c>
      <c r="C14" s="2">
        <f>IF(B14="","",COUNTIFS(Partidos!$C:$C,Partidos!$X$2,Partidos!$D:$D,B14)+COUNTIFS(Partidos!$C:$C,Partidos!$X$2,Partidos!$E:$E,B14)+COUNTIFS(Partidos!$C:$C,Partidos!$X$2,Partidos!$F:$F,B14)+COUNTIFS(Partidos!$C:$C,Partidos!$X$2,Partidos!$G:$G,B14))</f>
        <v>6</v>
      </c>
      <c r="D14" s="2">
        <f>IF(B14="","",COUNTIFS(Partidos!$C:$C,Partidos!$X$2,Partidos!$P:$P,"A",Partidos!$D:$D,B14)+COUNTIFS(Partidos!$C:$C,Partidos!$X$2,Partidos!$P:$P,"A",Partidos!$E:$E,B14)+COUNTIFS(Partidos!$C:$C,Partidos!$X$2,Partidos!$P:$P,"B",Partidos!$F:$F,B14)+COUNTIFS(Partidos!$C:$C,Partidos!$X$2,Partidos!$P:$P,"B",Partidos!$G:$G,B14))</f>
        <v>4</v>
      </c>
      <c r="E14" s="2">
        <f t="shared" si="1"/>
        <v>2</v>
      </c>
      <c r="F14" s="2">
        <f>IF(B14="","",SUMIFS(Partidos!$Q:$Q,Partidos!$C:$C,Partidos!$X$2,Partidos!$D:$D,B14)+SUMIFS(Partidos!$Q:$Q,Partidos!$C:$C,Partidos!$X$2,Partidos!$E:$E,B14)+SUMIFS(Partidos!$R:$R,Partidos!$C:$C,Partidos!$X$2,Partidos!$F:$F,B14)+SUMIFS(Partidos!$R:$R,Partidos!$C:$C,Partidos!$X$2,Partidos!$G:$G,B14))</f>
        <v>64</v>
      </c>
      <c r="G14" s="2">
        <f>IF(B14="","",SUMIFS(Partidos!$R:$R,Partidos!$C:$C,Partidos!$X$2,Partidos!$D:$D,B14)+SUMIFS(Partidos!$R:$R,Partidos!$C:$C,Partidos!$X$2,Partidos!$E:$E,B14)+SUMIFS(Partidos!$Q:$Q,Partidos!$C:$C,Partidos!$X$2,Partidos!$F:$F,B14)+SUMIFS(Partidos!$Q:$Q,Partidos!$C:$C,Partidos!$X$2,Partidos!$G:$G,B14))</f>
        <v>44</v>
      </c>
      <c r="H14" s="2">
        <f t="shared" si="2"/>
        <v>20</v>
      </c>
      <c r="I14" s="10">
        <f>IF(B14="","",SUMIFS(Partidos!$T:$T,Partidos!$C:$C,Partidos!$X$2,Partidos!$D:$D,B14)+SUMIFS(Partidos!$T:$T,Partidos!$C:$C,Partidos!$X$2,Partidos!$E:$E,B14)+SUMIFS(Partidos!$U:$U,Partidos!$C:$C,Partidos!$X$2,Partidos!$F:$F,B14)+SUMIFS(Partidos!$U:$U,Partidos!$C:$C,Partidos!$X$2,Partidos!$G:$G,B14))</f>
        <v>0.60000000000000009</v>
      </c>
      <c r="J14" s="25">
        <f>IF(B14="","",D14*Partidos!$X$3 + E14*Partidos!$X$4 + I14)</f>
        <v>8.6</v>
      </c>
      <c r="K14" s="10">
        <f>IF(B14="","",SUMIFS(Partidos!$N:$N,Partidos!$C:$C,Partidos!$X$2,Partidos!$D:$D,B14)+SUMIFS(Partidos!$N:$N,Partidos!$C:$C,Partidos!$X$2,Partidos!$E:$E,B14)+SUMIFS(Partidos!$O:$O,Partidos!$C:$C,Partidos!$X$2,Partidos!$F:$F,B14)+SUMIFS(Partidos!$O:$O,Partidos!$C:$C,Partidos!$X$2,Partidos!$G:$G,B14))</f>
        <v>8</v>
      </c>
      <c r="L14" s="10">
        <f>IF(B14="","",SUMIFS(Partidos!$O:$O,Partidos!$C:$C,Partidos!$X$2,Partidos!$D:$D,B14)+SUMIFS(Partidos!$O:$O,Partidos!$C:$C,Partidos!$X$2,Partidos!$E:$E,B14)+SUMIFS(Partidos!$N:$N,Partidos!$C:$C,Partidos!$X$2,Partidos!$F:$F,B14)+SUMIFS(Partidos!$N:$N,Partidos!$C:$C,Partidos!$X$2,Partidos!$G:$G,B14))</f>
        <v>4</v>
      </c>
      <c r="M14" s="10">
        <f t="shared" si="3"/>
        <v>4</v>
      </c>
    </row>
    <row r="15" spans="1:13" x14ac:dyDescent="0.3">
      <c r="A15" s="2">
        <f t="shared" si="0"/>
        <v>14</v>
      </c>
      <c r="B15" s="6" t="str">
        <f>IF(Jugadores!B4="","",Jugadores!B4)</f>
        <v>José López</v>
      </c>
      <c r="C15" s="2">
        <f>IF(B15="","",COUNTIFS(Partidos!$C:$C,Partidos!$X$2,Partidos!$D:$D,B15)+COUNTIFS(Partidos!$C:$C,Partidos!$X$2,Partidos!$E:$E,B15)+COUNTIFS(Partidos!$C:$C,Partidos!$X$2,Partidos!$F:$F,B15)+COUNTIFS(Partidos!$C:$C,Partidos!$X$2,Partidos!$G:$G,B15))</f>
        <v>4</v>
      </c>
      <c r="D15" s="2">
        <f>IF(B15="","",COUNTIFS(Partidos!$C:$C,Partidos!$X$2,Partidos!$P:$P,"A",Partidos!$D:$D,B15)+COUNTIFS(Partidos!$C:$C,Partidos!$X$2,Partidos!$P:$P,"A",Partidos!$E:$E,B15)+COUNTIFS(Partidos!$C:$C,Partidos!$X$2,Partidos!$P:$P,"B",Partidos!$F:$F,B15)+COUNTIFS(Partidos!$C:$C,Partidos!$X$2,Partidos!$P:$P,"B",Partidos!$G:$G,B15))</f>
        <v>4</v>
      </c>
      <c r="E15" s="2">
        <f t="shared" si="1"/>
        <v>0</v>
      </c>
      <c r="F15" s="2">
        <f>IF(B15="","",SUMIFS(Partidos!$Q:$Q,Partidos!$C:$C,Partidos!$X$2,Partidos!$D:$D,B15)+SUMIFS(Partidos!$Q:$Q,Partidos!$C:$C,Partidos!$X$2,Partidos!$E:$E,B15)+SUMIFS(Partidos!$R:$R,Partidos!$C:$C,Partidos!$X$2,Partidos!$F:$F,B15)+SUMIFS(Partidos!$R:$R,Partidos!$C:$C,Partidos!$X$2,Partidos!$G:$G,B15))</f>
        <v>49</v>
      </c>
      <c r="G15" s="2">
        <f>IF(B15="","",SUMIFS(Partidos!$R:$R,Partidos!$C:$C,Partidos!$X$2,Partidos!$D:$D,B15)+SUMIFS(Partidos!$R:$R,Partidos!$C:$C,Partidos!$X$2,Partidos!$E:$E,B15)+SUMIFS(Partidos!$Q:$Q,Partidos!$C:$C,Partidos!$X$2,Partidos!$F:$F,B15)+SUMIFS(Partidos!$Q:$Q,Partidos!$C:$C,Partidos!$X$2,Partidos!$G:$G,B15))</f>
        <v>24</v>
      </c>
      <c r="H15" s="2">
        <f t="shared" si="2"/>
        <v>25</v>
      </c>
      <c r="I15" s="10">
        <f>IF(B15="","",SUMIFS(Partidos!$T:$T,Partidos!$C:$C,Partidos!$X$2,Partidos!$D:$D,B15)+SUMIFS(Partidos!$T:$T,Partidos!$C:$C,Partidos!$X$2,Partidos!$E:$E,B15)+SUMIFS(Partidos!$U:$U,Partidos!$C:$C,Partidos!$X$2,Partidos!$F:$F,B15)+SUMIFS(Partidos!$U:$U,Partidos!$C:$C,Partidos!$X$2,Partidos!$G:$G,B15))</f>
        <v>0.5</v>
      </c>
      <c r="J15" s="25">
        <f>IF(B15="","",D15*Partidos!$X$3 + E15*Partidos!$X$4 + I15)</f>
        <v>8.5</v>
      </c>
      <c r="K15" s="10">
        <f>IF(B15="","",SUMIFS(Partidos!$N:$N,Partidos!$C:$C,Partidos!$X$2,Partidos!$D:$D,B15)+SUMIFS(Partidos!$N:$N,Partidos!$C:$C,Partidos!$X$2,Partidos!$E:$E,B15)+SUMIFS(Partidos!$O:$O,Partidos!$C:$C,Partidos!$X$2,Partidos!$F:$F,B15)+SUMIFS(Partidos!$O:$O,Partidos!$C:$C,Partidos!$X$2,Partidos!$G:$G,B15))</f>
        <v>8</v>
      </c>
      <c r="L15" s="10">
        <f>IF(B15="","",SUMIFS(Partidos!$O:$O,Partidos!$C:$C,Partidos!$X$2,Partidos!$D:$D,B15)+SUMIFS(Partidos!$O:$O,Partidos!$C:$C,Partidos!$X$2,Partidos!$E:$E,B15)+SUMIFS(Partidos!$N:$N,Partidos!$C:$C,Partidos!$X$2,Partidos!$F:$F,B15)+SUMIFS(Partidos!$N:$N,Partidos!$C:$C,Partidos!$X$2,Partidos!$G:$G,B15))</f>
        <v>0</v>
      </c>
      <c r="M15" s="10">
        <f t="shared" si="3"/>
        <v>8</v>
      </c>
    </row>
    <row r="16" spans="1:13" x14ac:dyDescent="0.3">
      <c r="A16" s="2">
        <f t="shared" si="0"/>
        <v>15</v>
      </c>
      <c r="B16" s="6" t="str">
        <f>IF(Jugadores!B10="","",Jugadores!B10)</f>
        <v>Wilfredo Santana</v>
      </c>
      <c r="C16" s="2">
        <f>IF(B16="","",COUNTIFS(Partidos!$C:$C,Partidos!$X$2,Partidos!$D:$D,B16)+COUNTIFS(Partidos!$C:$C,Partidos!$X$2,Partidos!$E:$E,B16)+COUNTIFS(Partidos!$C:$C,Partidos!$X$2,Partidos!$F:$F,B16)+COUNTIFS(Partidos!$C:$C,Partidos!$X$2,Partidos!$G:$G,B16))</f>
        <v>6</v>
      </c>
      <c r="D16" s="2">
        <f>IF(B16="","",COUNTIFS(Partidos!$C:$C,Partidos!$X$2,Partidos!$P:$P,"A",Partidos!$D:$D,B16)+COUNTIFS(Partidos!$C:$C,Partidos!$X$2,Partidos!$P:$P,"A",Partidos!$E:$E,B16)+COUNTIFS(Partidos!$C:$C,Partidos!$X$2,Partidos!$P:$P,"B",Partidos!$F:$F,B16)+COUNTIFS(Partidos!$C:$C,Partidos!$X$2,Partidos!$P:$P,"B",Partidos!$G:$G,B16))</f>
        <v>1</v>
      </c>
      <c r="E16" s="2">
        <f t="shared" si="1"/>
        <v>5</v>
      </c>
      <c r="F16" s="2">
        <f>IF(B16="","",SUMIFS(Partidos!$Q:$Q,Partidos!$C:$C,Partidos!$X$2,Partidos!$D:$D,B16)+SUMIFS(Partidos!$Q:$Q,Partidos!$C:$C,Partidos!$X$2,Partidos!$E:$E,B16)+SUMIFS(Partidos!$R:$R,Partidos!$C:$C,Partidos!$X$2,Partidos!$F:$F,B16)+SUMIFS(Partidos!$R:$R,Partidos!$C:$C,Partidos!$X$2,Partidos!$G:$G,B16))</f>
        <v>54</v>
      </c>
      <c r="G16" s="2">
        <f>IF(B16="","",SUMIFS(Partidos!$R:$R,Partidos!$C:$C,Partidos!$X$2,Partidos!$D:$D,B16)+SUMIFS(Partidos!$R:$R,Partidos!$C:$C,Partidos!$X$2,Partidos!$E:$E,B16)+SUMIFS(Partidos!$Q:$Q,Partidos!$C:$C,Partidos!$X$2,Partidos!$F:$F,B16)+SUMIFS(Partidos!$Q:$Q,Partidos!$C:$C,Partidos!$X$2,Partidos!$G:$G,B16))</f>
        <v>73</v>
      </c>
      <c r="H16" s="2">
        <f t="shared" si="2"/>
        <v>-19</v>
      </c>
      <c r="I16" s="10">
        <f>IF(B16="","",SUMIFS(Partidos!$T:$T,Partidos!$C:$C,Partidos!$X$2,Partidos!$D:$D,B16)+SUMIFS(Partidos!$T:$T,Partidos!$C:$C,Partidos!$X$2,Partidos!$E:$E,B16)+SUMIFS(Partidos!$U:$U,Partidos!$C:$C,Partidos!$X$2,Partidos!$F:$F,B16)+SUMIFS(Partidos!$U:$U,Partidos!$C:$C,Partidos!$X$2,Partidos!$G:$G,B16))</f>
        <v>0.14000000000000001</v>
      </c>
      <c r="J16" s="25">
        <f>IF(B16="","",D16*Partidos!$X$3 + E16*Partidos!$X$4 + I16)</f>
        <v>2.14</v>
      </c>
      <c r="K16" s="10">
        <f>IF(B16="","",SUMIFS(Partidos!$N:$N,Partidos!$C:$C,Partidos!$X$2,Partidos!$D:$D,B16)+SUMIFS(Partidos!$N:$N,Partidos!$C:$C,Partidos!$X$2,Partidos!$E:$E,B16)+SUMIFS(Partidos!$O:$O,Partidos!$C:$C,Partidos!$X$2,Partidos!$F:$F,B16)+SUMIFS(Partidos!$O:$O,Partidos!$C:$C,Partidos!$X$2,Partidos!$G:$G,B16))</f>
        <v>3</v>
      </c>
      <c r="L16" s="10">
        <f>IF(B16="","",SUMIFS(Partidos!$O:$O,Partidos!$C:$C,Partidos!$X$2,Partidos!$D:$D,B16)+SUMIFS(Partidos!$O:$O,Partidos!$C:$C,Partidos!$X$2,Partidos!$E:$E,B16)+SUMIFS(Partidos!$N:$N,Partidos!$C:$C,Partidos!$X$2,Partidos!$F:$F,B16)+SUMIFS(Partidos!$N:$N,Partidos!$C:$C,Partidos!$X$2,Partidos!$G:$G,B16))</f>
        <v>10</v>
      </c>
      <c r="M16" s="10">
        <f t="shared" si="3"/>
        <v>-7</v>
      </c>
    </row>
    <row r="17" spans="1:13" x14ac:dyDescent="0.3">
      <c r="A17" s="2">
        <f t="shared" si="0"/>
        <v>16</v>
      </c>
      <c r="B17" s="6" t="str">
        <f>IF(Jugadores!B12="","",Jugadores!B12)</f>
        <v>José Fernando</v>
      </c>
      <c r="C17" s="2">
        <f>IF(B17="","",COUNTIFS(Partidos!$C:$C,Partidos!$X$2,Partidos!$D:$D,B17)+COUNTIFS(Partidos!$C:$C,Partidos!$X$2,Partidos!$E:$E,B17)+COUNTIFS(Partidos!$C:$C,Partidos!$X$2,Partidos!$F:$F,B17)+COUNTIFS(Partidos!$C:$C,Partidos!$X$2,Partidos!$G:$G,B17))</f>
        <v>2</v>
      </c>
      <c r="D17" s="2">
        <f>IF(B17="","",COUNTIFS(Partidos!$C:$C,Partidos!$X$2,Partidos!$P:$P,"A",Partidos!$D:$D,B17)+COUNTIFS(Partidos!$C:$C,Partidos!$X$2,Partidos!$P:$P,"A",Partidos!$E:$E,B17)+COUNTIFS(Partidos!$C:$C,Partidos!$X$2,Partidos!$P:$P,"B",Partidos!$F:$F,B17)+COUNTIFS(Partidos!$C:$C,Partidos!$X$2,Partidos!$P:$P,"B",Partidos!$G:$G,B17))</f>
        <v>1</v>
      </c>
      <c r="E17" s="2">
        <f t="shared" si="1"/>
        <v>1</v>
      </c>
      <c r="F17" s="2">
        <f>IF(B17="","",SUMIFS(Partidos!$Q:$Q,Partidos!$C:$C,Partidos!$X$2,Partidos!$D:$D,B17)+SUMIFS(Partidos!$Q:$Q,Partidos!$C:$C,Partidos!$X$2,Partidos!$E:$E,B17)+SUMIFS(Partidos!$R:$R,Partidos!$C:$C,Partidos!$X$2,Partidos!$F:$F,B17)+SUMIFS(Partidos!$R:$R,Partidos!$C:$C,Partidos!$X$2,Partidos!$G:$G,B17))</f>
        <v>23</v>
      </c>
      <c r="G17" s="2">
        <f>IF(B17="","",SUMIFS(Partidos!$R:$R,Partidos!$C:$C,Partidos!$X$2,Partidos!$D:$D,B17)+SUMIFS(Partidos!$R:$R,Partidos!$C:$C,Partidos!$X$2,Partidos!$E:$E,B17)+SUMIFS(Partidos!$Q:$Q,Partidos!$C:$C,Partidos!$X$2,Partidos!$F:$F,B17)+SUMIFS(Partidos!$Q:$Q,Partidos!$C:$C,Partidos!$X$2,Partidos!$G:$G,B17))</f>
        <v>24</v>
      </c>
      <c r="H17" s="2">
        <f t="shared" si="2"/>
        <v>-1</v>
      </c>
      <c r="I17" s="10">
        <f>IF(B17="","",SUMIFS(Partidos!$T:$T,Partidos!$C:$C,Partidos!$X$2,Partidos!$D:$D,B17)+SUMIFS(Partidos!$T:$T,Partidos!$C:$C,Partidos!$X$2,Partidos!$E:$E,B17)+SUMIFS(Partidos!$U:$U,Partidos!$C:$C,Partidos!$X$2,Partidos!$F:$F,B17)+SUMIFS(Partidos!$U:$U,Partidos!$C:$C,Partidos!$X$2,Partidos!$G:$G,B17))</f>
        <v>0.08</v>
      </c>
      <c r="J17" s="25">
        <f>IF(B17="","",D17*Partidos!$X$3 + E17*Partidos!$X$4 + I17)</f>
        <v>2.08</v>
      </c>
      <c r="K17" s="10">
        <f>IF(B17="","",SUMIFS(Partidos!$N:$N,Partidos!$C:$C,Partidos!$X$2,Partidos!$D:$D,B17)+SUMIFS(Partidos!$N:$N,Partidos!$C:$C,Partidos!$X$2,Partidos!$E:$E,B17)+SUMIFS(Partidos!$O:$O,Partidos!$C:$C,Partidos!$X$2,Partidos!$F:$F,B17)+SUMIFS(Partidos!$O:$O,Partidos!$C:$C,Partidos!$X$2,Partidos!$G:$G,B17))</f>
        <v>2</v>
      </c>
      <c r="L17" s="10">
        <f>IF(B17="","",SUMIFS(Partidos!$O:$O,Partidos!$C:$C,Partidos!$X$2,Partidos!$D:$D,B17)+SUMIFS(Partidos!$O:$O,Partidos!$C:$C,Partidos!$X$2,Partidos!$E:$E,B17)+SUMIFS(Partidos!$N:$N,Partidos!$C:$C,Partidos!$X$2,Partidos!$F:$F,B17)+SUMIFS(Partidos!$N:$N,Partidos!$C:$C,Partidos!$X$2,Partidos!$G:$G,B17))</f>
        <v>3</v>
      </c>
      <c r="M17" s="10">
        <f t="shared" si="3"/>
        <v>-1</v>
      </c>
    </row>
    <row r="18" spans="1:13" x14ac:dyDescent="0.3">
      <c r="A18" s="2" t="str">
        <f t="shared" ref="A18:A33" si="4">IF(B18="","",RANK(J18,$J$2:$J$61,0)+COUNTIFS($J$2:$J$61,J18,$H$2:$H$61,"&gt;"&amp;H18)+COUNTIFS($J$2:$J$61,J18,$H$2:$H$61,H18,$M$2:$M$61,"&gt;"&amp;M18)+COUNTIFS($J$2:$J$61,J18,$H$2:$H$61,H18,$M$2:$M$61,M18,$D$2:$D$61,"&gt;"&amp;D18)+COUNTIFS($J$2:$J$61,J18,$H$2:$H$61,H18,$M$2:$M$61,M18,$D$2:$D$61,D18,$B$2:$B$61,"&gt;"&amp;B18))</f>
        <v/>
      </c>
      <c r="B18" s="6" t="str">
        <f>IF(Jugadores!B18="","",Jugadores!B18)</f>
        <v/>
      </c>
      <c r="C18" s="2" t="str">
        <f>IF(B18="","",COUNTIFS(Partidos!$C:$C,Partidos!$X$2,Partidos!$D:$D,B18)+COUNTIFS(Partidos!$C:$C,Partidos!$X$2,Partidos!$E:$E,B18)+COUNTIFS(Partidos!$C:$C,Partidos!$X$2,Partidos!$F:$F,B18)+COUNTIFS(Partidos!$C:$C,Partidos!$X$2,Partidos!$G:$G,B18))</f>
        <v/>
      </c>
      <c r="D18" s="2" t="str">
        <f>IF(B18="","",COUNTIFS(Partidos!$C:$C,Partidos!$X$2,Partidos!$P:$P,"A",Partidos!$D:$D,B18)+COUNTIFS(Partidos!$C:$C,Partidos!$X$2,Partidos!$P:$P,"A",Partidos!$E:$E,B18)+COUNTIFS(Partidos!$C:$C,Partidos!$X$2,Partidos!$P:$P,"B",Partidos!$F:$F,B18)+COUNTIFS(Partidos!$C:$C,Partidos!$X$2,Partidos!$P:$P,"B",Partidos!$G:$G,B18))</f>
        <v/>
      </c>
      <c r="E18" s="2" t="str">
        <f t="shared" ref="E18:E33" si="5">IF(B18="","",C18-D18)</f>
        <v/>
      </c>
      <c r="F18" s="2" t="str">
        <f>IF(B18="","",SUMIFS(Partidos!$Q:$Q,Partidos!$C:$C,Partidos!$X$2,Partidos!$D:$D,B18)+SUMIFS(Partidos!$Q:$Q,Partidos!$C:$C,Partidos!$X$2,Partidos!$E:$E,B18)+SUMIFS(Partidos!$R:$R,Partidos!$C:$C,Partidos!$X$2,Partidos!$F:$F,B18)+SUMIFS(Partidos!$R:$R,Partidos!$C:$C,Partidos!$X$2,Partidos!$G:$G,B18))</f>
        <v/>
      </c>
      <c r="G18" s="2" t="str">
        <f>IF(B18="","",SUMIFS(Partidos!$R:$R,Partidos!$C:$C,Partidos!$X$2,Partidos!$D:$D,B18)+SUMIFS(Partidos!$R:$R,Partidos!$C:$C,Partidos!$X$2,Partidos!$E:$E,B18)+SUMIFS(Partidos!$Q:$Q,Partidos!$C:$C,Partidos!$X$2,Partidos!$F:$F,B18)+SUMIFS(Partidos!$Q:$Q,Partidos!$C:$C,Partidos!$X$2,Partidos!$G:$G,B18))</f>
        <v/>
      </c>
      <c r="H18" s="2" t="str">
        <f t="shared" ref="H18:H33" si="6">IF(B18="","",F18-G18)</f>
        <v/>
      </c>
      <c r="I18" s="10" t="str">
        <f>IF(B18="","",SUMIFS(Partidos!$T:$T,Partidos!$C:$C,Partidos!$X$2,Partidos!$D:$D,B18)+SUMIFS(Partidos!$T:$T,Partidos!$C:$C,Partidos!$X$2,Partidos!$E:$E,B18)+SUMIFS(Partidos!$U:$U,Partidos!$C:$C,Partidos!$X$2,Partidos!$F:$F,B18)+SUMIFS(Partidos!$U:$U,Partidos!$C:$C,Partidos!$X$2,Partidos!$G:$G,B18))</f>
        <v/>
      </c>
      <c r="J18" s="10" t="str">
        <f>IF(B18="","",D18*Partidos!$X$3 + E18*Partidos!$X$4 + I18)</f>
        <v/>
      </c>
      <c r="K18" s="10" t="str">
        <f>IF(B18="","",SUMIFS(Partidos!$N:$N,Partidos!$C:$C,Partidos!$X$2,Partidos!$D:$D,B18)+SUMIFS(Partidos!$N:$N,Partidos!$C:$C,Partidos!$X$2,Partidos!$E:$E,B18)+SUMIFS(Partidos!$O:$O,Partidos!$C:$C,Partidos!$X$2,Partidos!$F:$F,B18)+SUMIFS(Partidos!$O:$O,Partidos!$C:$C,Partidos!$X$2,Partidos!$G:$G,B18))</f>
        <v/>
      </c>
      <c r="L18" s="10" t="str">
        <f>IF(B18="","",SUMIFS(Partidos!$O:$O,Partidos!$C:$C,Partidos!$X$2,Partidos!$D:$D,B18)+SUMIFS(Partidos!$O:$O,Partidos!$C:$C,Partidos!$X$2,Partidos!$E:$E,B18)+SUMIFS(Partidos!$N:$N,Partidos!$C:$C,Partidos!$X$2,Partidos!$F:$F,B18)+SUMIFS(Partidos!$N:$N,Partidos!$C:$C,Partidos!$X$2,Partidos!$G:$G,B18))</f>
        <v/>
      </c>
      <c r="M18" s="10" t="str">
        <f t="shared" ref="M18:M33" si="7">IF(B18="","",K18-L18)</f>
        <v/>
      </c>
    </row>
    <row r="19" spans="1:13" x14ac:dyDescent="0.3">
      <c r="A19" s="2" t="str">
        <f t="shared" si="4"/>
        <v/>
      </c>
      <c r="B19" s="6" t="str">
        <f>IF(Jugadores!B19="","",Jugadores!B19)</f>
        <v/>
      </c>
      <c r="C19" s="2" t="str">
        <f>IF(B19="","",COUNTIFS(Partidos!$C:$C,Partidos!$X$2,Partidos!$D:$D,B19)+COUNTIFS(Partidos!$C:$C,Partidos!$X$2,Partidos!$E:$E,B19)+COUNTIFS(Partidos!$C:$C,Partidos!$X$2,Partidos!$F:$F,B19)+COUNTIFS(Partidos!$C:$C,Partidos!$X$2,Partidos!$G:$G,B19))</f>
        <v/>
      </c>
      <c r="D19" s="2" t="str">
        <f>IF(B19="","",COUNTIFS(Partidos!$C:$C,Partidos!$X$2,Partidos!$P:$P,"A",Partidos!$D:$D,B19)+COUNTIFS(Partidos!$C:$C,Partidos!$X$2,Partidos!$P:$P,"A",Partidos!$E:$E,B19)+COUNTIFS(Partidos!$C:$C,Partidos!$X$2,Partidos!$P:$P,"B",Partidos!$F:$F,B19)+COUNTIFS(Partidos!$C:$C,Partidos!$X$2,Partidos!$P:$P,"B",Partidos!$G:$G,B19))</f>
        <v/>
      </c>
      <c r="E19" s="2" t="str">
        <f t="shared" si="5"/>
        <v/>
      </c>
      <c r="F19" s="2" t="str">
        <f>IF(B19="","",SUMIFS(Partidos!$Q:$Q,Partidos!$C:$C,Partidos!$X$2,Partidos!$D:$D,B19)+SUMIFS(Partidos!$Q:$Q,Partidos!$C:$C,Partidos!$X$2,Partidos!$E:$E,B19)+SUMIFS(Partidos!$R:$R,Partidos!$C:$C,Partidos!$X$2,Partidos!$F:$F,B19)+SUMIFS(Partidos!$R:$R,Partidos!$C:$C,Partidos!$X$2,Partidos!$G:$G,B19))</f>
        <v/>
      </c>
      <c r="G19" s="2" t="str">
        <f>IF(B19="","",SUMIFS(Partidos!$R:$R,Partidos!$C:$C,Partidos!$X$2,Partidos!$D:$D,B19)+SUMIFS(Partidos!$R:$R,Partidos!$C:$C,Partidos!$X$2,Partidos!$E:$E,B19)+SUMIFS(Partidos!$Q:$Q,Partidos!$C:$C,Partidos!$X$2,Partidos!$F:$F,B19)+SUMIFS(Partidos!$Q:$Q,Partidos!$C:$C,Partidos!$X$2,Partidos!$G:$G,B19))</f>
        <v/>
      </c>
      <c r="H19" s="2" t="str">
        <f t="shared" si="6"/>
        <v/>
      </c>
      <c r="I19" s="10" t="str">
        <f>IF(B19="","",SUMIFS(Partidos!$T:$T,Partidos!$C:$C,Partidos!$X$2,Partidos!$D:$D,B19)+SUMIFS(Partidos!$T:$T,Partidos!$C:$C,Partidos!$X$2,Partidos!$E:$E,B19)+SUMIFS(Partidos!$U:$U,Partidos!$C:$C,Partidos!$X$2,Partidos!$F:$F,B19)+SUMIFS(Partidos!$U:$U,Partidos!$C:$C,Partidos!$X$2,Partidos!$G:$G,B19))</f>
        <v/>
      </c>
      <c r="J19" s="10" t="str">
        <f>IF(B19="","",D19*Partidos!$X$3 + E19*Partidos!$X$4 + I19)</f>
        <v/>
      </c>
      <c r="K19" s="10" t="str">
        <f>IF(B19="","",SUMIFS(Partidos!$N:$N,Partidos!$C:$C,Partidos!$X$2,Partidos!$D:$D,B19)+SUMIFS(Partidos!$N:$N,Partidos!$C:$C,Partidos!$X$2,Partidos!$E:$E,B19)+SUMIFS(Partidos!$O:$O,Partidos!$C:$C,Partidos!$X$2,Partidos!$F:$F,B19)+SUMIFS(Partidos!$O:$O,Partidos!$C:$C,Partidos!$X$2,Partidos!$G:$G,B19))</f>
        <v/>
      </c>
      <c r="L19" s="10" t="str">
        <f>IF(B19="","",SUMIFS(Partidos!$O:$O,Partidos!$C:$C,Partidos!$X$2,Partidos!$D:$D,B19)+SUMIFS(Partidos!$O:$O,Partidos!$C:$C,Partidos!$X$2,Partidos!$E:$E,B19)+SUMIFS(Partidos!$N:$N,Partidos!$C:$C,Partidos!$X$2,Partidos!$F:$F,B19)+SUMIFS(Partidos!$N:$N,Partidos!$C:$C,Partidos!$X$2,Partidos!$G:$G,B19))</f>
        <v/>
      </c>
      <c r="M19" s="10" t="str">
        <f t="shared" si="7"/>
        <v/>
      </c>
    </row>
    <row r="20" spans="1:13" x14ac:dyDescent="0.3">
      <c r="A20" s="2" t="str">
        <f t="shared" si="4"/>
        <v/>
      </c>
      <c r="B20" s="6" t="str">
        <f>IF(Jugadores!B20="","",Jugadores!B20)</f>
        <v/>
      </c>
      <c r="C20" s="2" t="str">
        <f>IF(B20="","",COUNTIFS(Partidos!$C:$C,Partidos!$X$2,Partidos!$D:$D,B20)+COUNTIFS(Partidos!$C:$C,Partidos!$X$2,Partidos!$E:$E,B20)+COUNTIFS(Partidos!$C:$C,Partidos!$X$2,Partidos!$F:$F,B20)+COUNTIFS(Partidos!$C:$C,Partidos!$X$2,Partidos!$G:$G,B20))</f>
        <v/>
      </c>
      <c r="D20" s="2" t="str">
        <f>IF(B20="","",COUNTIFS(Partidos!$C:$C,Partidos!$X$2,Partidos!$P:$P,"A",Partidos!$D:$D,B20)+COUNTIFS(Partidos!$C:$C,Partidos!$X$2,Partidos!$P:$P,"A",Partidos!$E:$E,B20)+COUNTIFS(Partidos!$C:$C,Partidos!$X$2,Partidos!$P:$P,"B",Partidos!$F:$F,B20)+COUNTIFS(Partidos!$C:$C,Partidos!$X$2,Partidos!$P:$P,"B",Partidos!$G:$G,B20))</f>
        <v/>
      </c>
      <c r="E20" s="2" t="str">
        <f t="shared" si="5"/>
        <v/>
      </c>
      <c r="F20" s="2" t="str">
        <f>IF(B20="","",SUMIFS(Partidos!$Q:$Q,Partidos!$C:$C,Partidos!$X$2,Partidos!$D:$D,B20)+SUMIFS(Partidos!$Q:$Q,Partidos!$C:$C,Partidos!$X$2,Partidos!$E:$E,B20)+SUMIFS(Partidos!$R:$R,Partidos!$C:$C,Partidos!$X$2,Partidos!$F:$F,B20)+SUMIFS(Partidos!$R:$R,Partidos!$C:$C,Partidos!$X$2,Partidos!$G:$G,B20))</f>
        <v/>
      </c>
      <c r="G20" s="2" t="str">
        <f>IF(B20="","",SUMIFS(Partidos!$R:$R,Partidos!$C:$C,Partidos!$X$2,Partidos!$D:$D,B20)+SUMIFS(Partidos!$R:$R,Partidos!$C:$C,Partidos!$X$2,Partidos!$E:$E,B20)+SUMIFS(Partidos!$Q:$Q,Partidos!$C:$C,Partidos!$X$2,Partidos!$F:$F,B20)+SUMIFS(Partidos!$Q:$Q,Partidos!$C:$C,Partidos!$X$2,Partidos!$G:$G,B20))</f>
        <v/>
      </c>
      <c r="H20" s="2" t="str">
        <f t="shared" si="6"/>
        <v/>
      </c>
      <c r="I20" s="10" t="str">
        <f>IF(B20="","",SUMIFS(Partidos!$T:$T,Partidos!$C:$C,Partidos!$X$2,Partidos!$D:$D,B20)+SUMIFS(Partidos!$T:$T,Partidos!$C:$C,Partidos!$X$2,Partidos!$E:$E,B20)+SUMIFS(Partidos!$U:$U,Partidos!$C:$C,Partidos!$X$2,Partidos!$F:$F,B20)+SUMIFS(Partidos!$U:$U,Partidos!$C:$C,Partidos!$X$2,Partidos!$G:$G,B20))</f>
        <v/>
      </c>
      <c r="J20" s="10" t="str">
        <f>IF(B20="","",D20*Partidos!$X$3 + E20*Partidos!$X$4 + I20)</f>
        <v/>
      </c>
      <c r="K20" s="10" t="str">
        <f>IF(B20="","",SUMIFS(Partidos!$N:$N,Partidos!$C:$C,Partidos!$X$2,Partidos!$D:$D,B20)+SUMIFS(Partidos!$N:$N,Partidos!$C:$C,Partidos!$X$2,Partidos!$E:$E,B20)+SUMIFS(Partidos!$O:$O,Partidos!$C:$C,Partidos!$X$2,Partidos!$F:$F,B20)+SUMIFS(Partidos!$O:$O,Partidos!$C:$C,Partidos!$X$2,Partidos!$G:$G,B20))</f>
        <v/>
      </c>
      <c r="L20" s="10" t="str">
        <f>IF(B20="","",SUMIFS(Partidos!$O:$O,Partidos!$C:$C,Partidos!$X$2,Partidos!$D:$D,B20)+SUMIFS(Partidos!$O:$O,Partidos!$C:$C,Partidos!$X$2,Partidos!$E:$E,B20)+SUMIFS(Partidos!$N:$N,Partidos!$C:$C,Partidos!$X$2,Partidos!$F:$F,B20)+SUMIFS(Partidos!$N:$N,Partidos!$C:$C,Partidos!$X$2,Partidos!$G:$G,B20))</f>
        <v/>
      </c>
      <c r="M20" s="10" t="str">
        <f t="shared" si="7"/>
        <v/>
      </c>
    </row>
    <row r="21" spans="1:13" x14ac:dyDescent="0.3">
      <c r="A21" s="2" t="str">
        <f t="shared" si="4"/>
        <v/>
      </c>
      <c r="B21" s="6" t="str">
        <f>IF(Jugadores!B21="","",Jugadores!B21)</f>
        <v/>
      </c>
      <c r="C21" s="2" t="str">
        <f>IF(B21="","",COUNTIFS(Partidos!$C:$C,Partidos!$X$2,Partidos!$D:$D,B21)+COUNTIFS(Partidos!$C:$C,Partidos!$X$2,Partidos!$E:$E,B21)+COUNTIFS(Partidos!$C:$C,Partidos!$X$2,Partidos!$F:$F,B21)+COUNTIFS(Partidos!$C:$C,Partidos!$X$2,Partidos!$G:$G,B21))</f>
        <v/>
      </c>
      <c r="D21" s="2" t="str">
        <f>IF(B21="","",COUNTIFS(Partidos!$C:$C,Partidos!$X$2,Partidos!$P:$P,"A",Partidos!$D:$D,B21)+COUNTIFS(Partidos!$C:$C,Partidos!$X$2,Partidos!$P:$P,"A",Partidos!$E:$E,B21)+COUNTIFS(Partidos!$C:$C,Partidos!$X$2,Partidos!$P:$P,"B",Partidos!$F:$F,B21)+COUNTIFS(Partidos!$C:$C,Partidos!$X$2,Partidos!$P:$P,"B",Partidos!$G:$G,B21))</f>
        <v/>
      </c>
      <c r="E21" s="2" t="str">
        <f t="shared" si="5"/>
        <v/>
      </c>
      <c r="F21" s="2" t="str">
        <f>IF(B21="","",SUMIFS(Partidos!$Q:$Q,Partidos!$C:$C,Partidos!$X$2,Partidos!$D:$D,B21)+SUMIFS(Partidos!$Q:$Q,Partidos!$C:$C,Partidos!$X$2,Partidos!$E:$E,B21)+SUMIFS(Partidos!$R:$R,Partidos!$C:$C,Partidos!$X$2,Partidos!$F:$F,B21)+SUMIFS(Partidos!$R:$R,Partidos!$C:$C,Partidos!$X$2,Partidos!$G:$G,B21))</f>
        <v/>
      </c>
      <c r="G21" s="2" t="str">
        <f>IF(B21="","",SUMIFS(Partidos!$R:$R,Partidos!$C:$C,Partidos!$X$2,Partidos!$D:$D,B21)+SUMIFS(Partidos!$R:$R,Partidos!$C:$C,Partidos!$X$2,Partidos!$E:$E,B21)+SUMIFS(Partidos!$Q:$Q,Partidos!$C:$C,Partidos!$X$2,Partidos!$F:$F,B21)+SUMIFS(Partidos!$Q:$Q,Partidos!$C:$C,Partidos!$X$2,Partidos!$G:$G,B21))</f>
        <v/>
      </c>
      <c r="H21" s="2" t="str">
        <f t="shared" si="6"/>
        <v/>
      </c>
      <c r="I21" s="10" t="str">
        <f>IF(B21="","",SUMIFS(Partidos!$T:$T,Partidos!$C:$C,Partidos!$X$2,Partidos!$D:$D,B21)+SUMIFS(Partidos!$T:$T,Partidos!$C:$C,Partidos!$X$2,Partidos!$E:$E,B21)+SUMIFS(Partidos!$U:$U,Partidos!$C:$C,Partidos!$X$2,Partidos!$F:$F,B21)+SUMIFS(Partidos!$U:$U,Partidos!$C:$C,Partidos!$X$2,Partidos!$G:$G,B21))</f>
        <v/>
      </c>
      <c r="J21" s="10" t="str">
        <f>IF(B21="","",D21*Partidos!$X$3 + E21*Partidos!$X$4 + I21)</f>
        <v/>
      </c>
      <c r="K21" s="10" t="str">
        <f>IF(B21="","",SUMIFS(Partidos!$N:$N,Partidos!$C:$C,Partidos!$X$2,Partidos!$D:$D,B21)+SUMIFS(Partidos!$N:$N,Partidos!$C:$C,Partidos!$X$2,Partidos!$E:$E,B21)+SUMIFS(Partidos!$O:$O,Partidos!$C:$C,Partidos!$X$2,Partidos!$F:$F,B21)+SUMIFS(Partidos!$O:$O,Partidos!$C:$C,Partidos!$X$2,Partidos!$G:$G,B21))</f>
        <v/>
      </c>
      <c r="L21" s="10" t="str">
        <f>IF(B21="","",SUMIFS(Partidos!$O:$O,Partidos!$C:$C,Partidos!$X$2,Partidos!$D:$D,B21)+SUMIFS(Partidos!$O:$O,Partidos!$C:$C,Partidos!$X$2,Partidos!$E:$E,B21)+SUMIFS(Partidos!$N:$N,Partidos!$C:$C,Partidos!$X$2,Partidos!$F:$F,B21)+SUMIFS(Partidos!$N:$N,Partidos!$C:$C,Partidos!$X$2,Partidos!$G:$G,B21))</f>
        <v/>
      </c>
      <c r="M21" s="10" t="str">
        <f t="shared" si="7"/>
        <v/>
      </c>
    </row>
    <row r="22" spans="1:13" x14ac:dyDescent="0.3">
      <c r="A22" s="2" t="str">
        <f t="shared" si="4"/>
        <v/>
      </c>
      <c r="B22" s="6" t="str">
        <f>IF(Jugadores!B22="","",Jugadores!B22)</f>
        <v/>
      </c>
      <c r="C22" s="2" t="str">
        <f>IF(B22="","",COUNTIFS(Partidos!$C:$C,Partidos!$X$2,Partidos!$D:$D,B22)+COUNTIFS(Partidos!$C:$C,Partidos!$X$2,Partidos!$E:$E,B22)+COUNTIFS(Partidos!$C:$C,Partidos!$X$2,Partidos!$F:$F,B22)+COUNTIFS(Partidos!$C:$C,Partidos!$X$2,Partidos!$G:$G,B22))</f>
        <v/>
      </c>
      <c r="D22" s="2" t="str">
        <f>IF(B22="","",COUNTIFS(Partidos!$C:$C,Partidos!$X$2,Partidos!$P:$P,"A",Partidos!$D:$D,B22)+COUNTIFS(Partidos!$C:$C,Partidos!$X$2,Partidos!$P:$P,"A",Partidos!$E:$E,B22)+COUNTIFS(Partidos!$C:$C,Partidos!$X$2,Partidos!$P:$P,"B",Partidos!$F:$F,B22)+COUNTIFS(Partidos!$C:$C,Partidos!$X$2,Partidos!$P:$P,"B",Partidos!$G:$G,B22))</f>
        <v/>
      </c>
      <c r="E22" s="2" t="str">
        <f t="shared" si="5"/>
        <v/>
      </c>
      <c r="F22" s="2" t="str">
        <f>IF(B22="","",SUMIFS(Partidos!$Q:$Q,Partidos!$C:$C,Partidos!$X$2,Partidos!$D:$D,B22)+SUMIFS(Partidos!$Q:$Q,Partidos!$C:$C,Partidos!$X$2,Partidos!$E:$E,B22)+SUMIFS(Partidos!$R:$R,Partidos!$C:$C,Partidos!$X$2,Partidos!$F:$F,B22)+SUMIFS(Partidos!$R:$R,Partidos!$C:$C,Partidos!$X$2,Partidos!$G:$G,B22))</f>
        <v/>
      </c>
      <c r="G22" s="2" t="str">
        <f>IF(B22="","",SUMIFS(Partidos!$R:$R,Partidos!$C:$C,Partidos!$X$2,Partidos!$D:$D,B22)+SUMIFS(Partidos!$R:$R,Partidos!$C:$C,Partidos!$X$2,Partidos!$E:$E,B22)+SUMIFS(Partidos!$Q:$Q,Partidos!$C:$C,Partidos!$X$2,Partidos!$F:$F,B22)+SUMIFS(Partidos!$Q:$Q,Partidos!$C:$C,Partidos!$X$2,Partidos!$G:$G,B22))</f>
        <v/>
      </c>
      <c r="H22" s="2" t="str">
        <f t="shared" si="6"/>
        <v/>
      </c>
      <c r="I22" s="10" t="str">
        <f>IF(B22="","",SUMIFS(Partidos!$T:$T,Partidos!$C:$C,Partidos!$X$2,Partidos!$D:$D,B22)+SUMIFS(Partidos!$T:$T,Partidos!$C:$C,Partidos!$X$2,Partidos!$E:$E,B22)+SUMIFS(Partidos!$U:$U,Partidos!$C:$C,Partidos!$X$2,Partidos!$F:$F,B22)+SUMIFS(Partidos!$U:$U,Partidos!$C:$C,Partidos!$X$2,Partidos!$G:$G,B22))</f>
        <v/>
      </c>
      <c r="J22" s="10" t="str">
        <f>IF(B22="","",D22*Partidos!$X$3 + E22*Partidos!$X$4 + I22)</f>
        <v/>
      </c>
      <c r="K22" s="10" t="str">
        <f>IF(B22="","",SUMIFS(Partidos!$N:$N,Partidos!$C:$C,Partidos!$X$2,Partidos!$D:$D,B22)+SUMIFS(Partidos!$N:$N,Partidos!$C:$C,Partidos!$X$2,Partidos!$E:$E,B22)+SUMIFS(Partidos!$O:$O,Partidos!$C:$C,Partidos!$X$2,Partidos!$F:$F,B22)+SUMIFS(Partidos!$O:$O,Partidos!$C:$C,Partidos!$X$2,Partidos!$G:$G,B22))</f>
        <v/>
      </c>
      <c r="L22" s="10" t="str">
        <f>IF(B22="","",SUMIFS(Partidos!$O:$O,Partidos!$C:$C,Partidos!$X$2,Partidos!$D:$D,B22)+SUMIFS(Partidos!$O:$O,Partidos!$C:$C,Partidos!$X$2,Partidos!$E:$E,B22)+SUMIFS(Partidos!$N:$N,Partidos!$C:$C,Partidos!$X$2,Partidos!$F:$F,B22)+SUMIFS(Partidos!$N:$N,Partidos!$C:$C,Partidos!$X$2,Partidos!$G:$G,B22))</f>
        <v/>
      </c>
      <c r="M22" s="10" t="str">
        <f t="shared" si="7"/>
        <v/>
      </c>
    </row>
    <row r="23" spans="1:13" x14ac:dyDescent="0.3">
      <c r="A23" s="2" t="str">
        <f t="shared" si="4"/>
        <v/>
      </c>
      <c r="B23" s="6" t="str">
        <f>IF(Jugadores!B23="","",Jugadores!B23)</f>
        <v/>
      </c>
      <c r="C23" s="2" t="str">
        <f>IF(B23="","",COUNTIFS(Partidos!$C:$C,Partidos!$X$2,Partidos!$D:$D,B23)+COUNTIFS(Partidos!$C:$C,Partidos!$X$2,Partidos!$E:$E,B23)+COUNTIFS(Partidos!$C:$C,Partidos!$X$2,Partidos!$F:$F,B23)+COUNTIFS(Partidos!$C:$C,Partidos!$X$2,Partidos!$G:$G,B23))</f>
        <v/>
      </c>
      <c r="D23" s="2" t="str">
        <f>IF(B23="","",COUNTIFS(Partidos!$C:$C,Partidos!$X$2,Partidos!$P:$P,"A",Partidos!$D:$D,B23)+COUNTIFS(Partidos!$C:$C,Partidos!$X$2,Partidos!$P:$P,"A",Partidos!$E:$E,B23)+COUNTIFS(Partidos!$C:$C,Partidos!$X$2,Partidos!$P:$P,"B",Partidos!$F:$F,B23)+COUNTIFS(Partidos!$C:$C,Partidos!$X$2,Partidos!$P:$P,"B",Partidos!$G:$G,B23))</f>
        <v/>
      </c>
      <c r="E23" s="2" t="str">
        <f t="shared" si="5"/>
        <v/>
      </c>
      <c r="F23" s="2" t="str">
        <f>IF(B23="","",SUMIFS(Partidos!$Q:$Q,Partidos!$C:$C,Partidos!$X$2,Partidos!$D:$D,B23)+SUMIFS(Partidos!$Q:$Q,Partidos!$C:$C,Partidos!$X$2,Partidos!$E:$E,B23)+SUMIFS(Partidos!$R:$R,Partidos!$C:$C,Partidos!$X$2,Partidos!$F:$F,B23)+SUMIFS(Partidos!$R:$R,Partidos!$C:$C,Partidos!$X$2,Partidos!$G:$G,B23))</f>
        <v/>
      </c>
      <c r="G23" s="2" t="str">
        <f>IF(B23="","",SUMIFS(Partidos!$R:$R,Partidos!$C:$C,Partidos!$X$2,Partidos!$D:$D,B23)+SUMIFS(Partidos!$R:$R,Partidos!$C:$C,Partidos!$X$2,Partidos!$E:$E,B23)+SUMIFS(Partidos!$Q:$Q,Partidos!$C:$C,Partidos!$X$2,Partidos!$F:$F,B23)+SUMIFS(Partidos!$Q:$Q,Partidos!$C:$C,Partidos!$X$2,Partidos!$G:$G,B23))</f>
        <v/>
      </c>
      <c r="H23" s="2" t="str">
        <f t="shared" si="6"/>
        <v/>
      </c>
      <c r="I23" s="10" t="str">
        <f>IF(B23="","",SUMIFS(Partidos!$T:$T,Partidos!$C:$C,Partidos!$X$2,Partidos!$D:$D,B23)+SUMIFS(Partidos!$T:$T,Partidos!$C:$C,Partidos!$X$2,Partidos!$E:$E,B23)+SUMIFS(Partidos!$U:$U,Partidos!$C:$C,Partidos!$X$2,Partidos!$F:$F,B23)+SUMIFS(Partidos!$U:$U,Partidos!$C:$C,Partidos!$X$2,Partidos!$G:$G,B23))</f>
        <v/>
      </c>
      <c r="J23" s="10" t="str">
        <f>IF(B23="","",D23*Partidos!$X$3 + E23*Partidos!$X$4 + I23)</f>
        <v/>
      </c>
      <c r="K23" s="10" t="str">
        <f>IF(B23="","",SUMIFS(Partidos!$N:$N,Partidos!$C:$C,Partidos!$X$2,Partidos!$D:$D,B23)+SUMIFS(Partidos!$N:$N,Partidos!$C:$C,Partidos!$X$2,Partidos!$E:$E,B23)+SUMIFS(Partidos!$O:$O,Partidos!$C:$C,Partidos!$X$2,Partidos!$F:$F,B23)+SUMIFS(Partidos!$O:$O,Partidos!$C:$C,Partidos!$X$2,Partidos!$G:$G,B23))</f>
        <v/>
      </c>
      <c r="L23" s="10" t="str">
        <f>IF(B23="","",SUMIFS(Partidos!$O:$O,Partidos!$C:$C,Partidos!$X$2,Partidos!$D:$D,B23)+SUMIFS(Partidos!$O:$O,Partidos!$C:$C,Partidos!$X$2,Partidos!$E:$E,B23)+SUMIFS(Partidos!$N:$N,Partidos!$C:$C,Partidos!$X$2,Partidos!$F:$F,B23)+SUMIFS(Partidos!$N:$N,Partidos!$C:$C,Partidos!$X$2,Partidos!$G:$G,B23))</f>
        <v/>
      </c>
      <c r="M23" s="10" t="str">
        <f t="shared" si="7"/>
        <v/>
      </c>
    </row>
    <row r="24" spans="1:13" x14ac:dyDescent="0.3">
      <c r="A24" s="2" t="str">
        <f t="shared" si="4"/>
        <v/>
      </c>
      <c r="B24" s="6" t="str">
        <f>IF(Jugadores!B24="","",Jugadores!B24)</f>
        <v/>
      </c>
      <c r="C24" s="2" t="str">
        <f>IF(B24="","",COUNTIFS(Partidos!$C:$C,Partidos!$X$2,Partidos!$D:$D,B24)+COUNTIFS(Partidos!$C:$C,Partidos!$X$2,Partidos!$E:$E,B24)+COUNTIFS(Partidos!$C:$C,Partidos!$X$2,Partidos!$F:$F,B24)+COUNTIFS(Partidos!$C:$C,Partidos!$X$2,Partidos!$G:$G,B24))</f>
        <v/>
      </c>
      <c r="D24" s="2" t="str">
        <f>IF(B24="","",COUNTIFS(Partidos!$C:$C,Partidos!$X$2,Partidos!$P:$P,"A",Partidos!$D:$D,B24)+COUNTIFS(Partidos!$C:$C,Partidos!$X$2,Partidos!$P:$P,"A",Partidos!$E:$E,B24)+COUNTIFS(Partidos!$C:$C,Partidos!$X$2,Partidos!$P:$P,"B",Partidos!$F:$F,B24)+COUNTIFS(Partidos!$C:$C,Partidos!$X$2,Partidos!$P:$P,"B",Partidos!$G:$G,B24))</f>
        <v/>
      </c>
      <c r="E24" s="2" t="str">
        <f t="shared" si="5"/>
        <v/>
      </c>
      <c r="F24" s="2" t="str">
        <f>IF(B24="","",SUMIFS(Partidos!$Q:$Q,Partidos!$C:$C,Partidos!$X$2,Partidos!$D:$D,B24)+SUMIFS(Partidos!$Q:$Q,Partidos!$C:$C,Partidos!$X$2,Partidos!$E:$E,B24)+SUMIFS(Partidos!$R:$R,Partidos!$C:$C,Partidos!$X$2,Partidos!$F:$F,B24)+SUMIFS(Partidos!$R:$R,Partidos!$C:$C,Partidos!$X$2,Partidos!$G:$G,B24))</f>
        <v/>
      </c>
      <c r="G24" s="2" t="str">
        <f>IF(B24="","",SUMIFS(Partidos!$R:$R,Partidos!$C:$C,Partidos!$X$2,Partidos!$D:$D,B24)+SUMIFS(Partidos!$R:$R,Partidos!$C:$C,Partidos!$X$2,Partidos!$E:$E,B24)+SUMIFS(Partidos!$Q:$Q,Partidos!$C:$C,Partidos!$X$2,Partidos!$F:$F,B24)+SUMIFS(Partidos!$Q:$Q,Partidos!$C:$C,Partidos!$X$2,Partidos!$G:$G,B24))</f>
        <v/>
      </c>
      <c r="H24" s="2" t="str">
        <f t="shared" si="6"/>
        <v/>
      </c>
      <c r="I24" s="10" t="str">
        <f>IF(B24="","",SUMIFS(Partidos!$T:$T,Partidos!$C:$C,Partidos!$X$2,Partidos!$D:$D,B24)+SUMIFS(Partidos!$T:$T,Partidos!$C:$C,Partidos!$X$2,Partidos!$E:$E,B24)+SUMIFS(Partidos!$U:$U,Partidos!$C:$C,Partidos!$X$2,Partidos!$F:$F,B24)+SUMIFS(Partidos!$U:$U,Partidos!$C:$C,Partidos!$X$2,Partidos!$G:$G,B24))</f>
        <v/>
      </c>
      <c r="J24" s="10" t="str">
        <f>IF(B24="","",D24*Partidos!$X$3 + E24*Partidos!$X$4 + I24)</f>
        <v/>
      </c>
      <c r="K24" s="10" t="str">
        <f>IF(B24="","",SUMIFS(Partidos!$N:$N,Partidos!$C:$C,Partidos!$X$2,Partidos!$D:$D,B24)+SUMIFS(Partidos!$N:$N,Partidos!$C:$C,Partidos!$X$2,Partidos!$E:$E,B24)+SUMIFS(Partidos!$O:$O,Partidos!$C:$C,Partidos!$X$2,Partidos!$F:$F,B24)+SUMIFS(Partidos!$O:$O,Partidos!$C:$C,Partidos!$X$2,Partidos!$G:$G,B24))</f>
        <v/>
      </c>
      <c r="L24" s="10" t="str">
        <f>IF(B24="","",SUMIFS(Partidos!$O:$O,Partidos!$C:$C,Partidos!$X$2,Partidos!$D:$D,B24)+SUMIFS(Partidos!$O:$O,Partidos!$C:$C,Partidos!$X$2,Partidos!$E:$E,B24)+SUMIFS(Partidos!$N:$N,Partidos!$C:$C,Partidos!$X$2,Partidos!$F:$F,B24)+SUMIFS(Partidos!$N:$N,Partidos!$C:$C,Partidos!$X$2,Partidos!$G:$G,B24))</f>
        <v/>
      </c>
      <c r="M24" s="10" t="str">
        <f t="shared" si="7"/>
        <v/>
      </c>
    </row>
    <row r="25" spans="1:13" x14ac:dyDescent="0.3">
      <c r="A25" s="2" t="str">
        <f t="shared" si="4"/>
        <v/>
      </c>
      <c r="B25" s="6" t="str">
        <f>IF(Jugadores!B25="","",Jugadores!B25)</f>
        <v/>
      </c>
      <c r="C25" s="2" t="str">
        <f>IF(B25="","",COUNTIFS(Partidos!$C:$C,Partidos!$X$2,Partidos!$D:$D,B25)+COUNTIFS(Partidos!$C:$C,Partidos!$X$2,Partidos!$E:$E,B25)+COUNTIFS(Partidos!$C:$C,Partidos!$X$2,Partidos!$F:$F,B25)+COUNTIFS(Partidos!$C:$C,Partidos!$X$2,Partidos!$G:$G,B25))</f>
        <v/>
      </c>
      <c r="D25" s="2" t="str">
        <f>IF(B25="","",COUNTIFS(Partidos!$C:$C,Partidos!$X$2,Partidos!$P:$P,"A",Partidos!$D:$D,B25)+COUNTIFS(Partidos!$C:$C,Partidos!$X$2,Partidos!$P:$P,"A",Partidos!$E:$E,B25)+COUNTIFS(Partidos!$C:$C,Partidos!$X$2,Partidos!$P:$P,"B",Partidos!$F:$F,B25)+COUNTIFS(Partidos!$C:$C,Partidos!$X$2,Partidos!$P:$P,"B",Partidos!$G:$G,B25))</f>
        <v/>
      </c>
      <c r="E25" s="2" t="str">
        <f t="shared" si="5"/>
        <v/>
      </c>
      <c r="F25" s="2" t="str">
        <f>IF(B25="","",SUMIFS(Partidos!$Q:$Q,Partidos!$C:$C,Partidos!$X$2,Partidos!$D:$D,B25)+SUMIFS(Partidos!$Q:$Q,Partidos!$C:$C,Partidos!$X$2,Partidos!$E:$E,B25)+SUMIFS(Partidos!$R:$R,Partidos!$C:$C,Partidos!$X$2,Partidos!$F:$F,B25)+SUMIFS(Partidos!$R:$R,Partidos!$C:$C,Partidos!$X$2,Partidos!$G:$G,B25))</f>
        <v/>
      </c>
      <c r="G25" s="2" t="str">
        <f>IF(B25="","",SUMIFS(Partidos!$R:$R,Partidos!$C:$C,Partidos!$X$2,Partidos!$D:$D,B25)+SUMIFS(Partidos!$R:$R,Partidos!$C:$C,Partidos!$X$2,Partidos!$E:$E,B25)+SUMIFS(Partidos!$Q:$Q,Partidos!$C:$C,Partidos!$X$2,Partidos!$F:$F,B25)+SUMIFS(Partidos!$Q:$Q,Partidos!$C:$C,Partidos!$X$2,Partidos!$G:$G,B25))</f>
        <v/>
      </c>
      <c r="H25" s="2" t="str">
        <f t="shared" si="6"/>
        <v/>
      </c>
      <c r="I25" s="10" t="str">
        <f>IF(B25="","",SUMIFS(Partidos!$T:$T,Partidos!$C:$C,Partidos!$X$2,Partidos!$D:$D,B25)+SUMIFS(Partidos!$T:$T,Partidos!$C:$C,Partidos!$X$2,Partidos!$E:$E,B25)+SUMIFS(Partidos!$U:$U,Partidos!$C:$C,Partidos!$X$2,Partidos!$F:$F,B25)+SUMIFS(Partidos!$U:$U,Partidos!$C:$C,Partidos!$X$2,Partidos!$G:$G,B25))</f>
        <v/>
      </c>
      <c r="J25" s="10" t="str">
        <f>IF(B25="","",D25*Partidos!$X$3 + E25*Partidos!$X$4 + I25)</f>
        <v/>
      </c>
      <c r="K25" s="10" t="str">
        <f>IF(B25="","",SUMIFS(Partidos!$N:$N,Partidos!$C:$C,Partidos!$X$2,Partidos!$D:$D,B25)+SUMIFS(Partidos!$N:$N,Partidos!$C:$C,Partidos!$X$2,Partidos!$E:$E,B25)+SUMIFS(Partidos!$O:$O,Partidos!$C:$C,Partidos!$X$2,Partidos!$F:$F,B25)+SUMIFS(Partidos!$O:$O,Partidos!$C:$C,Partidos!$X$2,Partidos!$G:$G,B25))</f>
        <v/>
      </c>
      <c r="L25" s="10" t="str">
        <f>IF(B25="","",SUMIFS(Partidos!$O:$O,Partidos!$C:$C,Partidos!$X$2,Partidos!$D:$D,B25)+SUMIFS(Partidos!$O:$O,Partidos!$C:$C,Partidos!$X$2,Partidos!$E:$E,B25)+SUMIFS(Partidos!$N:$N,Partidos!$C:$C,Partidos!$X$2,Partidos!$F:$F,B25)+SUMIFS(Partidos!$N:$N,Partidos!$C:$C,Partidos!$X$2,Partidos!$G:$G,B25))</f>
        <v/>
      </c>
      <c r="M25" s="10" t="str">
        <f t="shared" si="7"/>
        <v/>
      </c>
    </row>
    <row r="26" spans="1:13" x14ac:dyDescent="0.3">
      <c r="A26" s="2" t="str">
        <f t="shared" si="4"/>
        <v/>
      </c>
      <c r="B26" s="6" t="str">
        <f>IF(Jugadores!B26="","",Jugadores!B26)</f>
        <v/>
      </c>
      <c r="C26" s="2" t="str">
        <f>IF(B26="","",COUNTIFS(Partidos!$C:$C,Partidos!$X$2,Partidos!$D:$D,B26)+COUNTIFS(Partidos!$C:$C,Partidos!$X$2,Partidos!$E:$E,B26)+COUNTIFS(Partidos!$C:$C,Partidos!$X$2,Partidos!$F:$F,B26)+COUNTIFS(Partidos!$C:$C,Partidos!$X$2,Partidos!$G:$G,B26))</f>
        <v/>
      </c>
      <c r="D26" s="2" t="str">
        <f>IF(B26="","",COUNTIFS(Partidos!$C:$C,Partidos!$X$2,Partidos!$P:$P,"A",Partidos!$D:$D,B26)+COUNTIFS(Partidos!$C:$C,Partidos!$X$2,Partidos!$P:$P,"A",Partidos!$E:$E,B26)+COUNTIFS(Partidos!$C:$C,Partidos!$X$2,Partidos!$P:$P,"B",Partidos!$F:$F,B26)+COUNTIFS(Partidos!$C:$C,Partidos!$X$2,Partidos!$P:$P,"B",Partidos!$G:$G,B26))</f>
        <v/>
      </c>
      <c r="E26" s="2" t="str">
        <f t="shared" si="5"/>
        <v/>
      </c>
      <c r="F26" s="2" t="str">
        <f>IF(B26="","",SUMIFS(Partidos!$Q:$Q,Partidos!$C:$C,Partidos!$X$2,Partidos!$D:$D,B26)+SUMIFS(Partidos!$Q:$Q,Partidos!$C:$C,Partidos!$X$2,Partidos!$E:$E,B26)+SUMIFS(Partidos!$R:$R,Partidos!$C:$C,Partidos!$X$2,Partidos!$F:$F,B26)+SUMIFS(Partidos!$R:$R,Partidos!$C:$C,Partidos!$X$2,Partidos!$G:$G,B26))</f>
        <v/>
      </c>
      <c r="G26" s="2" t="str">
        <f>IF(B26="","",SUMIFS(Partidos!$R:$R,Partidos!$C:$C,Partidos!$X$2,Partidos!$D:$D,B26)+SUMIFS(Partidos!$R:$R,Partidos!$C:$C,Partidos!$X$2,Partidos!$E:$E,B26)+SUMIFS(Partidos!$Q:$Q,Partidos!$C:$C,Partidos!$X$2,Partidos!$F:$F,B26)+SUMIFS(Partidos!$Q:$Q,Partidos!$C:$C,Partidos!$X$2,Partidos!$G:$G,B26))</f>
        <v/>
      </c>
      <c r="H26" s="2" t="str">
        <f t="shared" si="6"/>
        <v/>
      </c>
      <c r="I26" s="10" t="str">
        <f>IF(B26="","",SUMIFS(Partidos!$T:$T,Partidos!$C:$C,Partidos!$X$2,Partidos!$D:$D,B26)+SUMIFS(Partidos!$T:$T,Partidos!$C:$C,Partidos!$X$2,Partidos!$E:$E,B26)+SUMIFS(Partidos!$U:$U,Partidos!$C:$C,Partidos!$X$2,Partidos!$F:$F,B26)+SUMIFS(Partidos!$U:$U,Partidos!$C:$C,Partidos!$X$2,Partidos!$G:$G,B26))</f>
        <v/>
      </c>
      <c r="J26" s="10" t="str">
        <f>IF(B26="","",D26*Partidos!$X$3 + E26*Partidos!$X$4 + I26)</f>
        <v/>
      </c>
      <c r="K26" s="10" t="str">
        <f>IF(B26="","",SUMIFS(Partidos!$N:$N,Partidos!$C:$C,Partidos!$X$2,Partidos!$D:$D,B26)+SUMIFS(Partidos!$N:$N,Partidos!$C:$C,Partidos!$X$2,Partidos!$E:$E,B26)+SUMIFS(Partidos!$O:$O,Partidos!$C:$C,Partidos!$X$2,Partidos!$F:$F,B26)+SUMIFS(Partidos!$O:$O,Partidos!$C:$C,Partidos!$X$2,Partidos!$G:$G,B26))</f>
        <v/>
      </c>
      <c r="L26" s="10" t="str">
        <f>IF(B26="","",SUMIFS(Partidos!$O:$O,Partidos!$C:$C,Partidos!$X$2,Partidos!$D:$D,B26)+SUMIFS(Partidos!$O:$O,Partidos!$C:$C,Partidos!$X$2,Partidos!$E:$E,B26)+SUMIFS(Partidos!$N:$N,Partidos!$C:$C,Partidos!$X$2,Partidos!$F:$F,B26)+SUMIFS(Partidos!$N:$N,Partidos!$C:$C,Partidos!$X$2,Partidos!$G:$G,B26))</f>
        <v/>
      </c>
      <c r="M26" s="10" t="str">
        <f t="shared" si="7"/>
        <v/>
      </c>
    </row>
    <row r="27" spans="1:13" x14ac:dyDescent="0.3">
      <c r="A27" s="2" t="str">
        <f t="shared" si="4"/>
        <v/>
      </c>
      <c r="B27" s="6" t="str">
        <f>IF(Jugadores!B27="","",Jugadores!B27)</f>
        <v/>
      </c>
      <c r="C27" s="2" t="str">
        <f>IF(B27="","",COUNTIFS(Partidos!$C:$C,Partidos!$X$2,Partidos!$D:$D,B27)+COUNTIFS(Partidos!$C:$C,Partidos!$X$2,Partidos!$E:$E,B27)+COUNTIFS(Partidos!$C:$C,Partidos!$X$2,Partidos!$F:$F,B27)+COUNTIFS(Partidos!$C:$C,Partidos!$X$2,Partidos!$G:$G,B27))</f>
        <v/>
      </c>
      <c r="D27" s="2" t="str">
        <f>IF(B27="","",COUNTIFS(Partidos!$C:$C,Partidos!$X$2,Partidos!$P:$P,"A",Partidos!$D:$D,B27)+COUNTIFS(Partidos!$C:$C,Partidos!$X$2,Partidos!$P:$P,"A",Partidos!$E:$E,B27)+COUNTIFS(Partidos!$C:$C,Partidos!$X$2,Partidos!$P:$P,"B",Partidos!$F:$F,B27)+COUNTIFS(Partidos!$C:$C,Partidos!$X$2,Partidos!$P:$P,"B",Partidos!$G:$G,B27))</f>
        <v/>
      </c>
      <c r="E27" s="2" t="str">
        <f t="shared" si="5"/>
        <v/>
      </c>
      <c r="F27" s="2" t="str">
        <f>IF(B27="","",SUMIFS(Partidos!$Q:$Q,Partidos!$C:$C,Partidos!$X$2,Partidos!$D:$D,B27)+SUMIFS(Partidos!$Q:$Q,Partidos!$C:$C,Partidos!$X$2,Partidos!$E:$E,B27)+SUMIFS(Partidos!$R:$R,Partidos!$C:$C,Partidos!$X$2,Partidos!$F:$F,B27)+SUMIFS(Partidos!$R:$R,Partidos!$C:$C,Partidos!$X$2,Partidos!$G:$G,B27))</f>
        <v/>
      </c>
      <c r="G27" s="2" t="str">
        <f>IF(B27="","",SUMIFS(Partidos!$R:$R,Partidos!$C:$C,Partidos!$X$2,Partidos!$D:$D,B27)+SUMIFS(Partidos!$R:$R,Partidos!$C:$C,Partidos!$X$2,Partidos!$E:$E,B27)+SUMIFS(Partidos!$Q:$Q,Partidos!$C:$C,Partidos!$X$2,Partidos!$F:$F,B27)+SUMIFS(Partidos!$Q:$Q,Partidos!$C:$C,Partidos!$X$2,Partidos!$G:$G,B27))</f>
        <v/>
      </c>
      <c r="H27" s="2" t="str">
        <f t="shared" si="6"/>
        <v/>
      </c>
      <c r="I27" s="10" t="str">
        <f>IF(B27="","",SUMIFS(Partidos!$T:$T,Partidos!$C:$C,Partidos!$X$2,Partidos!$D:$D,B27)+SUMIFS(Partidos!$T:$T,Partidos!$C:$C,Partidos!$X$2,Partidos!$E:$E,B27)+SUMIFS(Partidos!$U:$U,Partidos!$C:$C,Partidos!$X$2,Partidos!$F:$F,B27)+SUMIFS(Partidos!$U:$U,Partidos!$C:$C,Partidos!$X$2,Partidos!$G:$G,B27))</f>
        <v/>
      </c>
      <c r="J27" s="10" t="str">
        <f>IF(B27="","",D27*Partidos!$X$3 + E27*Partidos!$X$4 + I27)</f>
        <v/>
      </c>
      <c r="K27" s="10" t="str">
        <f>IF(B27="","",SUMIFS(Partidos!$N:$N,Partidos!$C:$C,Partidos!$X$2,Partidos!$D:$D,B27)+SUMIFS(Partidos!$N:$N,Partidos!$C:$C,Partidos!$X$2,Partidos!$E:$E,B27)+SUMIFS(Partidos!$O:$O,Partidos!$C:$C,Partidos!$X$2,Partidos!$F:$F,B27)+SUMIFS(Partidos!$O:$O,Partidos!$C:$C,Partidos!$X$2,Partidos!$G:$G,B27))</f>
        <v/>
      </c>
      <c r="L27" s="10" t="str">
        <f>IF(B27="","",SUMIFS(Partidos!$O:$O,Partidos!$C:$C,Partidos!$X$2,Partidos!$D:$D,B27)+SUMIFS(Partidos!$O:$O,Partidos!$C:$C,Partidos!$X$2,Partidos!$E:$E,B27)+SUMIFS(Partidos!$N:$N,Partidos!$C:$C,Partidos!$X$2,Partidos!$F:$F,B27)+SUMIFS(Partidos!$N:$N,Partidos!$C:$C,Partidos!$X$2,Partidos!$G:$G,B27))</f>
        <v/>
      </c>
      <c r="M27" s="10" t="str">
        <f t="shared" si="7"/>
        <v/>
      </c>
    </row>
    <row r="28" spans="1:13" x14ac:dyDescent="0.3">
      <c r="A28" s="2" t="str">
        <f t="shared" si="4"/>
        <v/>
      </c>
      <c r="B28" s="6" t="str">
        <f>IF(Jugadores!B28="","",Jugadores!B28)</f>
        <v/>
      </c>
      <c r="C28" s="2" t="str">
        <f>IF(B28="","",COUNTIFS(Partidos!$C:$C,Partidos!$X$2,Partidos!$D:$D,B28)+COUNTIFS(Partidos!$C:$C,Partidos!$X$2,Partidos!$E:$E,B28)+COUNTIFS(Partidos!$C:$C,Partidos!$X$2,Partidos!$F:$F,B28)+COUNTIFS(Partidos!$C:$C,Partidos!$X$2,Partidos!$G:$G,B28))</f>
        <v/>
      </c>
      <c r="D28" s="2" t="str">
        <f>IF(B28="","",COUNTIFS(Partidos!$C:$C,Partidos!$X$2,Partidos!$P:$P,"A",Partidos!$D:$D,B28)+COUNTIFS(Partidos!$C:$C,Partidos!$X$2,Partidos!$P:$P,"A",Partidos!$E:$E,B28)+COUNTIFS(Partidos!$C:$C,Partidos!$X$2,Partidos!$P:$P,"B",Partidos!$F:$F,B28)+COUNTIFS(Partidos!$C:$C,Partidos!$X$2,Partidos!$P:$P,"B",Partidos!$G:$G,B28))</f>
        <v/>
      </c>
      <c r="E28" s="2" t="str">
        <f t="shared" si="5"/>
        <v/>
      </c>
      <c r="F28" s="2" t="str">
        <f>IF(B28="","",SUMIFS(Partidos!$Q:$Q,Partidos!$C:$C,Partidos!$X$2,Partidos!$D:$D,B28)+SUMIFS(Partidos!$Q:$Q,Partidos!$C:$C,Partidos!$X$2,Partidos!$E:$E,B28)+SUMIFS(Partidos!$R:$R,Partidos!$C:$C,Partidos!$X$2,Partidos!$F:$F,B28)+SUMIFS(Partidos!$R:$R,Partidos!$C:$C,Partidos!$X$2,Partidos!$G:$G,B28))</f>
        <v/>
      </c>
      <c r="G28" s="2" t="str">
        <f>IF(B28="","",SUMIFS(Partidos!$R:$R,Partidos!$C:$C,Partidos!$X$2,Partidos!$D:$D,B28)+SUMIFS(Partidos!$R:$R,Partidos!$C:$C,Partidos!$X$2,Partidos!$E:$E,B28)+SUMIFS(Partidos!$Q:$Q,Partidos!$C:$C,Partidos!$X$2,Partidos!$F:$F,B28)+SUMIFS(Partidos!$Q:$Q,Partidos!$C:$C,Partidos!$X$2,Partidos!$G:$G,B28))</f>
        <v/>
      </c>
      <c r="H28" s="2" t="str">
        <f t="shared" si="6"/>
        <v/>
      </c>
      <c r="I28" s="10" t="str">
        <f>IF(B28="","",SUMIFS(Partidos!$T:$T,Partidos!$C:$C,Partidos!$X$2,Partidos!$D:$D,B28)+SUMIFS(Partidos!$T:$T,Partidos!$C:$C,Partidos!$X$2,Partidos!$E:$E,B28)+SUMIFS(Partidos!$U:$U,Partidos!$C:$C,Partidos!$X$2,Partidos!$F:$F,B28)+SUMIFS(Partidos!$U:$U,Partidos!$C:$C,Partidos!$X$2,Partidos!$G:$G,B28))</f>
        <v/>
      </c>
      <c r="J28" s="10" t="str">
        <f>IF(B28="","",D28*Partidos!$X$3 + E28*Partidos!$X$4 + I28)</f>
        <v/>
      </c>
      <c r="K28" s="10" t="str">
        <f>IF(B28="","",SUMIFS(Partidos!$N:$N,Partidos!$C:$C,Partidos!$X$2,Partidos!$D:$D,B28)+SUMIFS(Partidos!$N:$N,Partidos!$C:$C,Partidos!$X$2,Partidos!$E:$E,B28)+SUMIFS(Partidos!$O:$O,Partidos!$C:$C,Partidos!$X$2,Partidos!$F:$F,B28)+SUMIFS(Partidos!$O:$O,Partidos!$C:$C,Partidos!$X$2,Partidos!$G:$G,B28))</f>
        <v/>
      </c>
      <c r="L28" s="10" t="str">
        <f>IF(B28="","",SUMIFS(Partidos!$O:$O,Partidos!$C:$C,Partidos!$X$2,Partidos!$D:$D,B28)+SUMIFS(Partidos!$O:$O,Partidos!$C:$C,Partidos!$X$2,Partidos!$E:$E,B28)+SUMIFS(Partidos!$N:$N,Partidos!$C:$C,Partidos!$X$2,Partidos!$F:$F,B28)+SUMIFS(Partidos!$N:$N,Partidos!$C:$C,Partidos!$X$2,Partidos!$G:$G,B28))</f>
        <v/>
      </c>
      <c r="M28" s="10" t="str">
        <f t="shared" si="7"/>
        <v/>
      </c>
    </row>
    <row r="29" spans="1:13" x14ac:dyDescent="0.3">
      <c r="A29" s="2" t="str">
        <f t="shared" si="4"/>
        <v/>
      </c>
      <c r="B29" s="6" t="str">
        <f>IF(Jugadores!B29="","",Jugadores!B29)</f>
        <v/>
      </c>
      <c r="C29" s="2" t="str">
        <f>IF(B29="","",COUNTIFS(Partidos!$C:$C,Partidos!$X$2,Partidos!$D:$D,B29)+COUNTIFS(Partidos!$C:$C,Partidos!$X$2,Partidos!$E:$E,B29)+COUNTIFS(Partidos!$C:$C,Partidos!$X$2,Partidos!$F:$F,B29)+COUNTIFS(Partidos!$C:$C,Partidos!$X$2,Partidos!$G:$G,B29))</f>
        <v/>
      </c>
      <c r="D29" s="2" t="str">
        <f>IF(B29="","",COUNTIFS(Partidos!$C:$C,Partidos!$X$2,Partidos!$P:$P,"A",Partidos!$D:$D,B29)+COUNTIFS(Partidos!$C:$C,Partidos!$X$2,Partidos!$P:$P,"A",Partidos!$E:$E,B29)+COUNTIFS(Partidos!$C:$C,Partidos!$X$2,Partidos!$P:$P,"B",Partidos!$F:$F,B29)+COUNTIFS(Partidos!$C:$C,Partidos!$X$2,Partidos!$P:$P,"B",Partidos!$G:$G,B29))</f>
        <v/>
      </c>
      <c r="E29" s="2" t="str">
        <f t="shared" si="5"/>
        <v/>
      </c>
      <c r="F29" s="2" t="str">
        <f>IF(B29="","",SUMIFS(Partidos!$Q:$Q,Partidos!$C:$C,Partidos!$X$2,Partidos!$D:$D,B29)+SUMIFS(Partidos!$Q:$Q,Partidos!$C:$C,Partidos!$X$2,Partidos!$E:$E,B29)+SUMIFS(Partidos!$R:$R,Partidos!$C:$C,Partidos!$X$2,Partidos!$F:$F,B29)+SUMIFS(Partidos!$R:$R,Partidos!$C:$C,Partidos!$X$2,Partidos!$G:$G,B29))</f>
        <v/>
      </c>
      <c r="G29" s="2" t="str">
        <f>IF(B29="","",SUMIFS(Partidos!$R:$R,Partidos!$C:$C,Partidos!$X$2,Partidos!$D:$D,B29)+SUMIFS(Partidos!$R:$R,Partidos!$C:$C,Partidos!$X$2,Partidos!$E:$E,B29)+SUMIFS(Partidos!$Q:$Q,Partidos!$C:$C,Partidos!$X$2,Partidos!$F:$F,B29)+SUMIFS(Partidos!$Q:$Q,Partidos!$C:$C,Partidos!$X$2,Partidos!$G:$G,B29))</f>
        <v/>
      </c>
      <c r="H29" s="2" t="str">
        <f t="shared" si="6"/>
        <v/>
      </c>
      <c r="I29" s="10" t="str">
        <f>IF(B29="","",SUMIFS(Partidos!$T:$T,Partidos!$C:$C,Partidos!$X$2,Partidos!$D:$D,B29)+SUMIFS(Partidos!$T:$T,Partidos!$C:$C,Partidos!$X$2,Partidos!$E:$E,B29)+SUMIFS(Partidos!$U:$U,Partidos!$C:$C,Partidos!$X$2,Partidos!$F:$F,B29)+SUMIFS(Partidos!$U:$U,Partidos!$C:$C,Partidos!$X$2,Partidos!$G:$G,B29))</f>
        <v/>
      </c>
      <c r="J29" s="10" t="str">
        <f>IF(B29="","",D29*Partidos!$X$3 + E29*Partidos!$X$4 + I29)</f>
        <v/>
      </c>
      <c r="K29" s="10" t="str">
        <f>IF(B29="","",SUMIFS(Partidos!$N:$N,Partidos!$C:$C,Partidos!$X$2,Partidos!$D:$D,B29)+SUMIFS(Partidos!$N:$N,Partidos!$C:$C,Partidos!$X$2,Partidos!$E:$E,B29)+SUMIFS(Partidos!$O:$O,Partidos!$C:$C,Partidos!$X$2,Partidos!$F:$F,B29)+SUMIFS(Partidos!$O:$O,Partidos!$C:$C,Partidos!$X$2,Partidos!$G:$G,B29))</f>
        <v/>
      </c>
      <c r="L29" s="10" t="str">
        <f>IF(B29="","",SUMIFS(Partidos!$O:$O,Partidos!$C:$C,Partidos!$X$2,Partidos!$D:$D,B29)+SUMIFS(Partidos!$O:$O,Partidos!$C:$C,Partidos!$X$2,Partidos!$E:$E,B29)+SUMIFS(Partidos!$N:$N,Partidos!$C:$C,Partidos!$X$2,Partidos!$F:$F,B29)+SUMIFS(Partidos!$N:$N,Partidos!$C:$C,Partidos!$X$2,Partidos!$G:$G,B29))</f>
        <v/>
      </c>
      <c r="M29" s="10" t="str">
        <f t="shared" si="7"/>
        <v/>
      </c>
    </row>
    <row r="30" spans="1:13" x14ac:dyDescent="0.3">
      <c r="A30" s="2" t="str">
        <f t="shared" si="4"/>
        <v/>
      </c>
      <c r="B30" s="6" t="str">
        <f>IF(Jugadores!B30="","",Jugadores!B30)</f>
        <v/>
      </c>
      <c r="C30" s="2" t="str">
        <f>IF(B30="","",COUNTIFS(Partidos!$C:$C,Partidos!$X$2,Partidos!$D:$D,B30)+COUNTIFS(Partidos!$C:$C,Partidos!$X$2,Partidos!$E:$E,B30)+COUNTIFS(Partidos!$C:$C,Partidos!$X$2,Partidos!$F:$F,B30)+COUNTIFS(Partidos!$C:$C,Partidos!$X$2,Partidos!$G:$G,B30))</f>
        <v/>
      </c>
      <c r="D30" s="2" t="str">
        <f>IF(B30="","",COUNTIFS(Partidos!$C:$C,Partidos!$X$2,Partidos!$P:$P,"A",Partidos!$D:$D,B30)+COUNTIFS(Partidos!$C:$C,Partidos!$X$2,Partidos!$P:$P,"A",Partidos!$E:$E,B30)+COUNTIFS(Partidos!$C:$C,Partidos!$X$2,Partidos!$P:$P,"B",Partidos!$F:$F,B30)+COUNTIFS(Partidos!$C:$C,Partidos!$X$2,Partidos!$P:$P,"B",Partidos!$G:$G,B30))</f>
        <v/>
      </c>
      <c r="E30" s="2" t="str">
        <f t="shared" si="5"/>
        <v/>
      </c>
      <c r="F30" s="2" t="str">
        <f>IF(B30="","",SUMIFS(Partidos!$Q:$Q,Partidos!$C:$C,Partidos!$X$2,Partidos!$D:$D,B30)+SUMIFS(Partidos!$Q:$Q,Partidos!$C:$C,Partidos!$X$2,Partidos!$E:$E,B30)+SUMIFS(Partidos!$R:$R,Partidos!$C:$C,Partidos!$X$2,Partidos!$F:$F,B30)+SUMIFS(Partidos!$R:$R,Partidos!$C:$C,Partidos!$X$2,Partidos!$G:$G,B30))</f>
        <v/>
      </c>
      <c r="G30" s="2" t="str">
        <f>IF(B30="","",SUMIFS(Partidos!$R:$R,Partidos!$C:$C,Partidos!$X$2,Partidos!$D:$D,B30)+SUMIFS(Partidos!$R:$R,Partidos!$C:$C,Partidos!$X$2,Partidos!$E:$E,B30)+SUMIFS(Partidos!$Q:$Q,Partidos!$C:$C,Partidos!$X$2,Partidos!$F:$F,B30)+SUMIFS(Partidos!$Q:$Q,Partidos!$C:$C,Partidos!$X$2,Partidos!$G:$G,B30))</f>
        <v/>
      </c>
      <c r="H30" s="2" t="str">
        <f t="shared" si="6"/>
        <v/>
      </c>
      <c r="I30" s="10" t="str">
        <f>IF(B30="","",SUMIFS(Partidos!$T:$T,Partidos!$C:$C,Partidos!$X$2,Partidos!$D:$D,B30)+SUMIFS(Partidos!$T:$T,Partidos!$C:$C,Partidos!$X$2,Partidos!$E:$E,B30)+SUMIFS(Partidos!$U:$U,Partidos!$C:$C,Partidos!$X$2,Partidos!$F:$F,B30)+SUMIFS(Partidos!$U:$U,Partidos!$C:$C,Partidos!$X$2,Partidos!$G:$G,B30))</f>
        <v/>
      </c>
      <c r="J30" s="10" t="str">
        <f>IF(B30="","",D30*Partidos!$X$3 + E30*Partidos!$X$4 + I30)</f>
        <v/>
      </c>
      <c r="K30" s="10" t="str">
        <f>IF(B30="","",SUMIFS(Partidos!$N:$N,Partidos!$C:$C,Partidos!$X$2,Partidos!$D:$D,B30)+SUMIFS(Partidos!$N:$N,Partidos!$C:$C,Partidos!$X$2,Partidos!$E:$E,B30)+SUMIFS(Partidos!$O:$O,Partidos!$C:$C,Partidos!$X$2,Partidos!$F:$F,B30)+SUMIFS(Partidos!$O:$O,Partidos!$C:$C,Partidos!$X$2,Partidos!$G:$G,B30))</f>
        <v/>
      </c>
      <c r="L30" s="10" t="str">
        <f>IF(B30="","",SUMIFS(Partidos!$O:$O,Partidos!$C:$C,Partidos!$X$2,Partidos!$D:$D,B30)+SUMIFS(Partidos!$O:$O,Partidos!$C:$C,Partidos!$X$2,Partidos!$E:$E,B30)+SUMIFS(Partidos!$N:$N,Partidos!$C:$C,Partidos!$X$2,Partidos!$F:$F,B30)+SUMIFS(Partidos!$N:$N,Partidos!$C:$C,Partidos!$X$2,Partidos!$G:$G,B30))</f>
        <v/>
      </c>
      <c r="M30" s="10" t="str">
        <f t="shared" si="7"/>
        <v/>
      </c>
    </row>
    <row r="31" spans="1:13" x14ac:dyDescent="0.3">
      <c r="A31" s="2" t="str">
        <f t="shared" si="4"/>
        <v/>
      </c>
      <c r="B31" s="6" t="str">
        <f>IF(Jugadores!B31="","",Jugadores!B31)</f>
        <v/>
      </c>
      <c r="C31" s="2" t="str">
        <f>IF(B31="","",COUNTIFS(Partidos!$C:$C,Partidos!$X$2,Partidos!$D:$D,B31)+COUNTIFS(Partidos!$C:$C,Partidos!$X$2,Partidos!$E:$E,B31)+COUNTIFS(Partidos!$C:$C,Partidos!$X$2,Partidos!$F:$F,B31)+COUNTIFS(Partidos!$C:$C,Partidos!$X$2,Partidos!$G:$G,B31))</f>
        <v/>
      </c>
      <c r="D31" s="2" t="str">
        <f>IF(B31="","",COUNTIFS(Partidos!$C:$C,Partidos!$X$2,Partidos!$P:$P,"A",Partidos!$D:$D,B31)+COUNTIFS(Partidos!$C:$C,Partidos!$X$2,Partidos!$P:$P,"A",Partidos!$E:$E,B31)+COUNTIFS(Partidos!$C:$C,Partidos!$X$2,Partidos!$P:$P,"B",Partidos!$F:$F,B31)+COUNTIFS(Partidos!$C:$C,Partidos!$X$2,Partidos!$P:$P,"B",Partidos!$G:$G,B31))</f>
        <v/>
      </c>
      <c r="E31" s="2" t="str">
        <f t="shared" si="5"/>
        <v/>
      </c>
      <c r="F31" s="2" t="str">
        <f>IF(B31="","",SUMIFS(Partidos!$Q:$Q,Partidos!$C:$C,Partidos!$X$2,Partidos!$D:$D,B31)+SUMIFS(Partidos!$Q:$Q,Partidos!$C:$C,Partidos!$X$2,Partidos!$E:$E,B31)+SUMIFS(Partidos!$R:$R,Partidos!$C:$C,Partidos!$X$2,Partidos!$F:$F,B31)+SUMIFS(Partidos!$R:$R,Partidos!$C:$C,Partidos!$X$2,Partidos!$G:$G,B31))</f>
        <v/>
      </c>
      <c r="G31" s="2" t="str">
        <f>IF(B31="","",SUMIFS(Partidos!$R:$R,Partidos!$C:$C,Partidos!$X$2,Partidos!$D:$D,B31)+SUMIFS(Partidos!$R:$R,Partidos!$C:$C,Partidos!$X$2,Partidos!$E:$E,B31)+SUMIFS(Partidos!$Q:$Q,Partidos!$C:$C,Partidos!$X$2,Partidos!$F:$F,B31)+SUMIFS(Partidos!$Q:$Q,Partidos!$C:$C,Partidos!$X$2,Partidos!$G:$G,B31))</f>
        <v/>
      </c>
      <c r="H31" s="2" t="str">
        <f t="shared" si="6"/>
        <v/>
      </c>
      <c r="I31" s="10" t="str">
        <f>IF(B31="","",SUMIFS(Partidos!$T:$T,Partidos!$C:$C,Partidos!$X$2,Partidos!$D:$D,B31)+SUMIFS(Partidos!$T:$T,Partidos!$C:$C,Partidos!$X$2,Partidos!$E:$E,B31)+SUMIFS(Partidos!$U:$U,Partidos!$C:$C,Partidos!$X$2,Partidos!$F:$F,B31)+SUMIFS(Partidos!$U:$U,Partidos!$C:$C,Partidos!$X$2,Partidos!$G:$G,B31))</f>
        <v/>
      </c>
      <c r="J31" s="10" t="str">
        <f>IF(B31="","",D31*Partidos!$X$3 + E31*Partidos!$X$4 + I31)</f>
        <v/>
      </c>
      <c r="K31" s="10" t="str">
        <f>IF(B31="","",SUMIFS(Partidos!$N:$N,Partidos!$C:$C,Partidos!$X$2,Partidos!$D:$D,B31)+SUMIFS(Partidos!$N:$N,Partidos!$C:$C,Partidos!$X$2,Partidos!$E:$E,B31)+SUMIFS(Partidos!$O:$O,Partidos!$C:$C,Partidos!$X$2,Partidos!$F:$F,B31)+SUMIFS(Partidos!$O:$O,Partidos!$C:$C,Partidos!$X$2,Partidos!$G:$G,B31))</f>
        <v/>
      </c>
      <c r="L31" s="10" t="str">
        <f>IF(B31="","",SUMIFS(Partidos!$O:$O,Partidos!$C:$C,Partidos!$X$2,Partidos!$D:$D,B31)+SUMIFS(Partidos!$O:$O,Partidos!$C:$C,Partidos!$X$2,Partidos!$E:$E,B31)+SUMIFS(Partidos!$N:$N,Partidos!$C:$C,Partidos!$X$2,Partidos!$F:$F,B31)+SUMIFS(Partidos!$N:$N,Partidos!$C:$C,Partidos!$X$2,Partidos!$G:$G,B31))</f>
        <v/>
      </c>
      <c r="M31" s="10" t="str">
        <f t="shared" si="7"/>
        <v/>
      </c>
    </row>
    <row r="32" spans="1:13" x14ac:dyDescent="0.3">
      <c r="A32" s="2" t="str">
        <f t="shared" si="4"/>
        <v/>
      </c>
      <c r="B32" s="6" t="str">
        <f>IF(Jugadores!B32="","",Jugadores!B32)</f>
        <v/>
      </c>
      <c r="C32" s="2" t="str">
        <f>IF(B32="","",COUNTIFS(Partidos!$C:$C,Partidos!$X$2,Partidos!$D:$D,B32)+COUNTIFS(Partidos!$C:$C,Partidos!$X$2,Partidos!$E:$E,B32)+COUNTIFS(Partidos!$C:$C,Partidos!$X$2,Partidos!$F:$F,B32)+COUNTIFS(Partidos!$C:$C,Partidos!$X$2,Partidos!$G:$G,B32))</f>
        <v/>
      </c>
      <c r="D32" s="2" t="str">
        <f>IF(B32="","",COUNTIFS(Partidos!$C:$C,Partidos!$X$2,Partidos!$P:$P,"A",Partidos!$D:$D,B32)+COUNTIFS(Partidos!$C:$C,Partidos!$X$2,Partidos!$P:$P,"A",Partidos!$E:$E,B32)+COUNTIFS(Partidos!$C:$C,Partidos!$X$2,Partidos!$P:$P,"B",Partidos!$F:$F,B32)+COUNTIFS(Partidos!$C:$C,Partidos!$X$2,Partidos!$P:$P,"B",Partidos!$G:$G,B32))</f>
        <v/>
      </c>
      <c r="E32" s="2" t="str">
        <f t="shared" si="5"/>
        <v/>
      </c>
      <c r="F32" s="2" t="str">
        <f>IF(B32="","",SUMIFS(Partidos!$Q:$Q,Partidos!$C:$C,Partidos!$X$2,Partidos!$D:$D,B32)+SUMIFS(Partidos!$Q:$Q,Partidos!$C:$C,Partidos!$X$2,Partidos!$E:$E,B32)+SUMIFS(Partidos!$R:$R,Partidos!$C:$C,Partidos!$X$2,Partidos!$F:$F,B32)+SUMIFS(Partidos!$R:$R,Partidos!$C:$C,Partidos!$X$2,Partidos!$G:$G,B32))</f>
        <v/>
      </c>
      <c r="G32" s="2" t="str">
        <f>IF(B32="","",SUMIFS(Partidos!$R:$R,Partidos!$C:$C,Partidos!$X$2,Partidos!$D:$D,B32)+SUMIFS(Partidos!$R:$R,Partidos!$C:$C,Partidos!$X$2,Partidos!$E:$E,B32)+SUMIFS(Partidos!$Q:$Q,Partidos!$C:$C,Partidos!$X$2,Partidos!$F:$F,B32)+SUMIFS(Partidos!$Q:$Q,Partidos!$C:$C,Partidos!$X$2,Partidos!$G:$G,B32))</f>
        <v/>
      </c>
      <c r="H32" s="2" t="str">
        <f t="shared" si="6"/>
        <v/>
      </c>
      <c r="I32" s="10" t="str">
        <f>IF(B32="","",SUMIFS(Partidos!$T:$T,Partidos!$C:$C,Partidos!$X$2,Partidos!$D:$D,B32)+SUMIFS(Partidos!$T:$T,Partidos!$C:$C,Partidos!$X$2,Partidos!$E:$E,B32)+SUMIFS(Partidos!$U:$U,Partidos!$C:$C,Partidos!$X$2,Partidos!$F:$F,B32)+SUMIFS(Partidos!$U:$U,Partidos!$C:$C,Partidos!$X$2,Partidos!$G:$G,B32))</f>
        <v/>
      </c>
      <c r="J32" s="10" t="str">
        <f>IF(B32="","",D32*Partidos!$X$3 + E32*Partidos!$X$4 + I32)</f>
        <v/>
      </c>
      <c r="K32" s="10" t="str">
        <f>IF(B32="","",SUMIFS(Partidos!$N:$N,Partidos!$C:$C,Partidos!$X$2,Partidos!$D:$D,B32)+SUMIFS(Partidos!$N:$N,Partidos!$C:$C,Partidos!$X$2,Partidos!$E:$E,B32)+SUMIFS(Partidos!$O:$O,Partidos!$C:$C,Partidos!$X$2,Partidos!$F:$F,B32)+SUMIFS(Partidos!$O:$O,Partidos!$C:$C,Partidos!$X$2,Partidos!$G:$G,B32))</f>
        <v/>
      </c>
      <c r="L32" s="10" t="str">
        <f>IF(B32="","",SUMIFS(Partidos!$O:$O,Partidos!$C:$C,Partidos!$X$2,Partidos!$D:$D,B32)+SUMIFS(Partidos!$O:$O,Partidos!$C:$C,Partidos!$X$2,Partidos!$E:$E,B32)+SUMIFS(Partidos!$N:$N,Partidos!$C:$C,Partidos!$X$2,Partidos!$F:$F,B32)+SUMIFS(Partidos!$N:$N,Partidos!$C:$C,Partidos!$X$2,Partidos!$G:$G,B32))</f>
        <v/>
      </c>
      <c r="M32" s="10" t="str">
        <f t="shared" si="7"/>
        <v/>
      </c>
    </row>
    <row r="33" spans="1:13" x14ac:dyDescent="0.3">
      <c r="A33" s="2" t="str">
        <f t="shared" si="4"/>
        <v/>
      </c>
      <c r="B33" s="6" t="str">
        <f>IF(Jugadores!B33="","",Jugadores!B33)</f>
        <v/>
      </c>
      <c r="C33" s="2" t="str">
        <f>IF(B33="","",COUNTIFS(Partidos!$C:$C,Partidos!$X$2,Partidos!$D:$D,B33)+COUNTIFS(Partidos!$C:$C,Partidos!$X$2,Partidos!$E:$E,B33)+COUNTIFS(Partidos!$C:$C,Partidos!$X$2,Partidos!$F:$F,B33)+COUNTIFS(Partidos!$C:$C,Partidos!$X$2,Partidos!$G:$G,B33))</f>
        <v/>
      </c>
      <c r="D33" s="2" t="str">
        <f>IF(B33="","",COUNTIFS(Partidos!$C:$C,Partidos!$X$2,Partidos!$P:$P,"A",Partidos!$D:$D,B33)+COUNTIFS(Partidos!$C:$C,Partidos!$X$2,Partidos!$P:$P,"A",Partidos!$E:$E,B33)+COUNTIFS(Partidos!$C:$C,Partidos!$X$2,Partidos!$P:$P,"B",Partidos!$F:$F,B33)+COUNTIFS(Partidos!$C:$C,Partidos!$X$2,Partidos!$P:$P,"B",Partidos!$G:$G,B33))</f>
        <v/>
      </c>
      <c r="E33" s="2" t="str">
        <f t="shared" si="5"/>
        <v/>
      </c>
      <c r="F33" s="2" t="str">
        <f>IF(B33="","",SUMIFS(Partidos!$Q:$Q,Partidos!$C:$C,Partidos!$X$2,Partidos!$D:$D,B33)+SUMIFS(Partidos!$Q:$Q,Partidos!$C:$C,Partidos!$X$2,Partidos!$E:$E,B33)+SUMIFS(Partidos!$R:$R,Partidos!$C:$C,Partidos!$X$2,Partidos!$F:$F,B33)+SUMIFS(Partidos!$R:$R,Partidos!$C:$C,Partidos!$X$2,Partidos!$G:$G,B33))</f>
        <v/>
      </c>
      <c r="G33" s="2" t="str">
        <f>IF(B33="","",SUMIFS(Partidos!$R:$R,Partidos!$C:$C,Partidos!$X$2,Partidos!$D:$D,B33)+SUMIFS(Partidos!$R:$R,Partidos!$C:$C,Partidos!$X$2,Partidos!$E:$E,B33)+SUMIFS(Partidos!$Q:$Q,Partidos!$C:$C,Partidos!$X$2,Partidos!$F:$F,B33)+SUMIFS(Partidos!$Q:$Q,Partidos!$C:$C,Partidos!$X$2,Partidos!$G:$G,B33))</f>
        <v/>
      </c>
      <c r="H33" s="2" t="str">
        <f t="shared" si="6"/>
        <v/>
      </c>
      <c r="I33" s="10" t="str">
        <f>IF(B33="","",SUMIFS(Partidos!$T:$T,Partidos!$C:$C,Partidos!$X$2,Partidos!$D:$D,B33)+SUMIFS(Partidos!$T:$T,Partidos!$C:$C,Partidos!$X$2,Partidos!$E:$E,B33)+SUMIFS(Partidos!$U:$U,Partidos!$C:$C,Partidos!$X$2,Partidos!$F:$F,B33)+SUMIFS(Partidos!$U:$U,Partidos!$C:$C,Partidos!$X$2,Partidos!$G:$G,B33))</f>
        <v/>
      </c>
      <c r="J33" s="10" t="str">
        <f>IF(B33="","",D33*Partidos!$X$3 + E33*Partidos!$X$4 + I33)</f>
        <v/>
      </c>
      <c r="K33" s="10" t="str">
        <f>IF(B33="","",SUMIFS(Partidos!$N:$N,Partidos!$C:$C,Partidos!$X$2,Partidos!$D:$D,B33)+SUMIFS(Partidos!$N:$N,Partidos!$C:$C,Partidos!$X$2,Partidos!$E:$E,B33)+SUMIFS(Partidos!$O:$O,Partidos!$C:$C,Partidos!$X$2,Partidos!$F:$F,B33)+SUMIFS(Partidos!$O:$O,Partidos!$C:$C,Partidos!$X$2,Partidos!$G:$G,B33))</f>
        <v/>
      </c>
      <c r="L33" s="10" t="str">
        <f>IF(B33="","",SUMIFS(Partidos!$O:$O,Partidos!$C:$C,Partidos!$X$2,Partidos!$D:$D,B33)+SUMIFS(Partidos!$O:$O,Partidos!$C:$C,Partidos!$X$2,Partidos!$E:$E,B33)+SUMIFS(Partidos!$N:$N,Partidos!$C:$C,Partidos!$X$2,Partidos!$F:$F,B33)+SUMIFS(Partidos!$N:$N,Partidos!$C:$C,Partidos!$X$2,Partidos!$G:$G,B33))</f>
        <v/>
      </c>
      <c r="M33" s="10" t="str">
        <f t="shared" si="7"/>
        <v/>
      </c>
    </row>
    <row r="34" spans="1:13" x14ac:dyDescent="0.3">
      <c r="A34" s="2" t="str">
        <f t="shared" ref="A34:A61" si="8">IF(B34="","",RANK(J34,$J$2:$J$61,0)+COUNTIFS($J$2:$J$61,J34,$H$2:$H$61,"&gt;"&amp;H34)+COUNTIFS($J$2:$J$61,J34,$H$2:$H$61,H34,$M$2:$M$61,"&gt;"&amp;M34)+COUNTIFS($J$2:$J$61,J34,$H$2:$H$61,H34,$M$2:$M$61,M34,$D$2:$D$61,"&gt;"&amp;D34)+COUNTIFS($J$2:$J$61,J34,$H$2:$H$61,H34,$M$2:$M$61,M34,$D$2:$D$61,D34,$B$2:$B$61,"&gt;"&amp;B34))</f>
        <v/>
      </c>
      <c r="B34" s="6" t="str">
        <f>IF(Jugadores!B34="","",Jugadores!B34)</f>
        <v/>
      </c>
      <c r="C34" s="2" t="str">
        <f>IF(B34="","",COUNTIFS(Partidos!$C:$C,Partidos!$X$2,Partidos!$D:$D,B34)+COUNTIFS(Partidos!$C:$C,Partidos!$X$2,Partidos!$E:$E,B34)+COUNTIFS(Partidos!$C:$C,Partidos!$X$2,Partidos!$F:$F,B34)+COUNTIFS(Partidos!$C:$C,Partidos!$X$2,Partidos!$G:$G,B34))</f>
        <v/>
      </c>
      <c r="D34" s="2" t="str">
        <f>IF(B34="","",COUNTIFS(Partidos!$C:$C,Partidos!$X$2,Partidos!$P:$P,"A",Partidos!$D:$D,B34)+COUNTIFS(Partidos!$C:$C,Partidos!$X$2,Partidos!$P:$P,"A",Partidos!$E:$E,B34)+COUNTIFS(Partidos!$C:$C,Partidos!$X$2,Partidos!$P:$P,"B",Partidos!$F:$F,B34)+COUNTIFS(Partidos!$C:$C,Partidos!$X$2,Partidos!$P:$P,"B",Partidos!$G:$G,B34))</f>
        <v/>
      </c>
      <c r="E34" s="2" t="str">
        <f t="shared" ref="E34:E61" si="9">IF(B34="","",C34-D34)</f>
        <v/>
      </c>
      <c r="F34" s="2" t="str">
        <f>IF(B34="","",SUMIFS(Partidos!$Q:$Q,Partidos!$C:$C,Partidos!$X$2,Partidos!$D:$D,B34)+SUMIFS(Partidos!$Q:$Q,Partidos!$C:$C,Partidos!$X$2,Partidos!$E:$E,B34)+SUMIFS(Partidos!$R:$R,Partidos!$C:$C,Partidos!$X$2,Partidos!$F:$F,B34)+SUMIFS(Partidos!$R:$R,Partidos!$C:$C,Partidos!$X$2,Partidos!$G:$G,B34))</f>
        <v/>
      </c>
      <c r="G34" s="2" t="str">
        <f>IF(B34="","",SUMIFS(Partidos!$R:$R,Partidos!$C:$C,Partidos!$X$2,Partidos!$D:$D,B34)+SUMIFS(Partidos!$R:$R,Partidos!$C:$C,Partidos!$X$2,Partidos!$E:$E,B34)+SUMIFS(Partidos!$Q:$Q,Partidos!$C:$C,Partidos!$X$2,Partidos!$F:$F,B34)+SUMIFS(Partidos!$Q:$Q,Partidos!$C:$C,Partidos!$X$2,Partidos!$G:$G,B34))</f>
        <v/>
      </c>
      <c r="H34" s="2" t="str">
        <f t="shared" ref="H34:H61" si="10">IF(B34="","",F34-G34)</f>
        <v/>
      </c>
      <c r="I34" s="10" t="str">
        <f>IF(B34="","",SUMIFS(Partidos!$T:$T,Partidos!$C:$C,Partidos!$X$2,Partidos!$D:$D,B34)+SUMIFS(Partidos!$T:$T,Partidos!$C:$C,Partidos!$X$2,Partidos!$E:$E,B34)+SUMIFS(Partidos!$U:$U,Partidos!$C:$C,Partidos!$X$2,Partidos!$F:$F,B34)+SUMIFS(Partidos!$U:$U,Partidos!$C:$C,Partidos!$X$2,Partidos!$G:$G,B34))</f>
        <v/>
      </c>
      <c r="J34" s="10" t="str">
        <f>IF(B34="","",D34*Partidos!$X$3 + E34*Partidos!$X$4 + I34)</f>
        <v/>
      </c>
      <c r="K34" s="10" t="str">
        <f>IF(B34="","",SUMIFS(Partidos!$N:$N,Partidos!$C:$C,Partidos!$X$2,Partidos!$D:$D,B34)+SUMIFS(Partidos!$N:$N,Partidos!$C:$C,Partidos!$X$2,Partidos!$E:$E,B34)+SUMIFS(Partidos!$O:$O,Partidos!$C:$C,Partidos!$X$2,Partidos!$F:$F,B34)+SUMIFS(Partidos!$O:$O,Partidos!$C:$C,Partidos!$X$2,Partidos!$G:$G,B34))</f>
        <v/>
      </c>
      <c r="L34" s="10" t="str">
        <f>IF(B34="","",SUMIFS(Partidos!$O:$O,Partidos!$C:$C,Partidos!$X$2,Partidos!$D:$D,B34)+SUMIFS(Partidos!$O:$O,Partidos!$C:$C,Partidos!$X$2,Partidos!$E:$E,B34)+SUMIFS(Partidos!$N:$N,Partidos!$C:$C,Partidos!$X$2,Partidos!$F:$F,B34)+SUMIFS(Partidos!$N:$N,Partidos!$C:$C,Partidos!$X$2,Partidos!$G:$G,B34))</f>
        <v/>
      </c>
      <c r="M34" s="10" t="str">
        <f t="shared" ref="M34:M61" si="11">IF(B34="","",K34-L34)</f>
        <v/>
      </c>
    </row>
    <row r="35" spans="1:13" x14ac:dyDescent="0.3">
      <c r="A35" s="2" t="str">
        <f t="shared" si="8"/>
        <v/>
      </c>
      <c r="B35" s="6" t="str">
        <f>IF(Jugadores!B35="","",Jugadores!B35)</f>
        <v/>
      </c>
      <c r="C35" s="2" t="str">
        <f>IF(B35="","",COUNTIFS(Partidos!$C:$C,Partidos!$X$2,Partidos!$D:$D,B35)+COUNTIFS(Partidos!$C:$C,Partidos!$X$2,Partidos!$E:$E,B35)+COUNTIFS(Partidos!$C:$C,Partidos!$X$2,Partidos!$F:$F,B35)+COUNTIFS(Partidos!$C:$C,Partidos!$X$2,Partidos!$G:$G,B35))</f>
        <v/>
      </c>
      <c r="D35" s="2" t="str">
        <f>IF(B35="","",COUNTIFS(Partidos!$C:$C,Partidos!$X$2,Partidos!$P:$P,"A",Partidos!$D:$D,B35)+COUNTIFS(Partidos!$C:$C,Partidos!$X$2,Partidos!$P:$P,"A",Partidos!$E:$E,B35)+COUNTIFS(Partidos!$C:$C,Partidos!$X$2,Partidos!$P:$P,"B",Partidos!$F:$F,B35)+COUNTIFS(Partidos!$C:$C,Partidos!$X$2,Partidos!$P:$P,"B",Partidos!$G:$G,B35))</f>
        <v/>
      </c>
      <c r="E35" s="2" t="str">
        <f t="shared" si="9"/>
        <v/>
      </c>
      <c r="F35" s="2" t="str">
        <f>IF(B35="","",SUMIFS(Partidos!$Q:$Q,Partidos!$C:$C,Partidos!$X$2,Partidos!$D:$D,B35)+SUMIFS(Partidos!$Q:$Q,Partidos!$C:$C,Partidos!$X$2,Partidos!$E:$E,B35)+SUMIFS(Partidos!$R:$R,Partidos!$C:$C,Partidos!$X$2,Partidos!$F:$F,B35)+SUMIFS(Partidos!$R:$R,Partidos!$C:$C,Partidos!$X$2,Partidos!$G:$G,B35))</f>
        <v/>
      </c>
      <c r="G35" s="2" t="str">
        <f>IF(B35="","",SUMIFS(Partidos!$R:$R,Partidos!$C:$C,Partidos!$X$2,Partidos!$D:$D,B35)+SUMIFS(Partidos!$R:$R,Partidos!$C:$C,Partidos!$X$2,Partidos!$E:$E,B35)+SUMIFS(Partidos!$Q:$Q,Partidos!$C:$C,Partidos!$X$2,Partidos!$F:$F,B35)+SUMIFS(Partidos!$Q:$Q,Partidos!$C:$C,Partidos!$X$2,Partidos!$G:$G,B35))</f>
        <v/>
      </c>
      <c r="H35" s="2" t="str">
        <f t="shared" si="10"/>
        <v/>
      </c>
      <c r="I35" s="10" t="str">
        <f>IF(B35="","",SUMIFS(Partidos!$T:$T,Partidos!$C:$C,Partidos!$X$2,Partidos!$D:$D,B35)+SUMIFS(Partidos!$T:$T,Partidos!$C:$C,Partidos!$X$2,Partidos!$E:$E,B35)+SUMIFS(Partidos!$U:$U,Partidos!$C:$C,Partidos!$X$2,Partidos!$F:$F,B35)+SUMIFS(Partidos!$U:$U,Partidos!$C:$C,Partidos!$X$2,Partidos!$G:$G,B35))</f>
        <v/>
      </c>
      <c r="J35" s="10" t="str">
        <f>IF(B35="","",D35*Partidos!$X$3 + E35*Partidos!$X$4 + I35)</f>
        <v/>
      </c>
      <c r="K35" s="10" t="str">
        <f>IF(B35="","",SUMIFS(Partidos!$N:$N,Partidos!$C:$C,Partidos!$X$2,Partidos!$D:$D,B35)+SUMIFS(Partidos!$N:$N,Partidos!$C:$C,Partidos!$X$2,Partidos!$E:$E,B35)+SUMIFS(Partidos!$O:$O,Partidos!$C:$C,Partidos!$X$2,Partidos!$F:$F,B35)+SUMIFS(Partidos!$O:$O,Partidos!$C:$C,Partidos!$X$2,Partidos!$G:$G,B35))</f>
        <v/>
      </c>
      <c r="L35" s="10" t="str">
        <f>IF(B35="","",SUMIFS(Partidos!$O:$O,Partidos!$C:$C,Partidos!$X$2,Partidos!$D:$D,B35)+SUMIFS(Partidos!$O:$O,Partidos!$C:$C,Partidos!$X$2,Partidos!$E:$E,B35)+SUMIFS(Partidos!$N:$N,Partidos!$C:$C,Partidos!$X$2,Partidos!$F:$F,B35)+SUMIFS(Partidos!$N:$N,Partidos!$C:$C,Partidos!$X$2,Partidos!$G:$G,B35))</f>
        <v/>
      </c>
      <c r="M35" s="10" t="str">
        <f t="shared" si="11"/>
        <v/>
      </c>
    </row>
    <row r="36" spans="1:13" x14ac:dyDescent="0.3">
      <c r="A36" s="2" t="str">
        <f t="shared" si="8"/>
        <v/>
      </c>
      <c r="B36" s="6" t="str">
        <f>IF(Jugadores!B36="","",Jugadores!B36)</f>
        <v/>
      </c>
      <c r="C36" s="2" t="str">
        <f>IF(B36="","",COUNTIFS(Partidos!$C:$C,Partidos!$X$2,Partidos!$D:$D,B36)+COUNTIFS(Partidos!$C:$C,Partidos!$X$2,Partidos!$E:$E,B36)+COUNTIFS(Partidos!$C:$C,Partidos!$X$2,Partidos!$F:$F,B36)+COUNTIFS(Partidos!$C:$C,Partidos!$X$2,Partidos!$G:$G,B36))</f>
        <v/>
      </c>
      <c r="D36" s="2" t="str">
        <f>IF(B36="","",COUNTIFS(Partidos!$C:$C,Partidos!$X$2,Partidos!$P:$P,"A",Partidos!$D:$D,B36)+COUNTIFS(Partidos!$C:$C,Partidos!$X$2,Partidos!$P:$P,"A",Partidos!$E:$E,B36)+COUNTIFS(Partidos!$C:$C,Partidos!$X$2,Partidos!$P:$P,"B",Partidos!$F:$F,B36)+COUNTIFS(Partidos!$C:$C,Partidos!$X$2,Partidos!$P:$P,"B",Partidos!$G:$G,B36))</f>
        <v/>
      </c>
      <c r="E36" s="2" t="str">
        <f t="shared" si="9"/>
        <v/>
      </c>
      <c r="F36" s="2" t="str">
        <f>IF(B36="","",SUMIFS(Partidos!$Q:$Q,Partidos!$C:$C,Partidos!$X$2,Partidos!$D:$D,B36)+SUMIFS(Partidos!$Q:$Q,Partidos!$C:$C,Partidos!$X$2,Partidos!$E:$E,B36)+SUMIFS(Partidos!$R:$R,Partidos!$C:$C,Partidos!$X$2,Partidos!$F:$F,B36)+SUMIFS(Partidos!$R:$R,Partidos!$C:$C,Partidos!$X$2,Partidos!$G:$G,B36))</f>
        <v/>
      </c>
      <c r="G36" s="2" t="str">
        <f>IF(B36="","",SUMIFS(Partidos!$R:$R,Partidos!$C:$C,Partidos!$X$2,Partidos!$D:$D,B36)+SUMIFS(Partidos!$R:$R,Partidos!$C:$C,Partidos!$X$2,Partidos!$E:$E,B36)+SUMIFS(Partidos!$Q:$Q,Partidos!$C:$C,Partidos!$X$2,Partidos!$F:$F,B36)+SUMIFS(Partidos!$Q:$Q,Partidos!$C:$C,Partidos!$X$2,Partidos!$G:$G,B36))</f>
        <v/>
      </c>
      <c r="H36" s="2" t="str">
        <f t="shared" si="10"/>
        <v/>
      </c>
      <c r="I36" s="10" t="str">
        <f>IF(B36="","",SUMIFS(Partidos!$T:$T,Partidos!$C:$C,Partidos!$X$2,Partidos!$D:$D,B36)+SUMIFS(Partidos!$T:$T,Partidos!$C:$C,Partidos!$X$2,Partidos!$E:$E,B36)+SUMIFS(Partidos!$U:$U,Partidos!$C:$C,Partidos!$X$2,Partidos!$F:$F,B36)+SUMIFS(Partidos!$U:$U,Partidos!$C:$C,Partidos!$X$2,Partidos!$G:$G,B36))</f>
        <v/>
      </c>
      <c r="J36" s="10" t="str">
        <f>IF(B36="","",D36*Partidos!$X$3 + E36*Partidos!$X$4 + I36)</f>
        <v/>
      </c>
      <c r="K36" s="10" t="str">
        <f>IF(B36="","",SUMIFS(Partidos!$N:$N,Partidos!$C:$C,Partidos!$X$2,Partidos!$D:$D,B36)+SUMIFS(Partidos!$N:$N,Partidos!$C:$C,Partidos!$X$2,Partidos!$E:$E,B36)+SUMIFS(Partidos!$O:$O,Partidos!$C:$C,Partidos!$X$2,Partidos!$F:$F,B36)+SUMIFS(Partidos!$O:$O,Partidos!$C:$C,Partidos!$X$2,Partidos!$G:$G,B36))</f>
        <v/>
      </c>
      <c r="L36" s="10" t="str">
        <f>IF(B36="","",SUMIFS(Partidos!$O:$O,Partidos!$C:$C,Partidos!$X$2,Partidos!$D:$D,B36)+SUMIFS(Partidos!$O:$O,Partidos!$C:$C,Partidos!$X$2,Partidos!$E:$E,B36)+SUMIFS(Partidos!$N:$N,Partidos!$C:$C,Partidos!$X$2,Partidos!$F:$F,B36)+SUMIFS(Partidos!$N:$N,Partidos!$C:$C,Partidos!$X$2,Partidos!$G:$G,B36))</f>
        <v/>
      </c>
      <c r="M36" s="10" t="str">
        <f t="shared" si="11"/>
        <v/>
      </c>
    </row>
    <row r="37" spans="1:13" x14ac:dyDescent="0.3">
      <c r="A37" s="2" t="str">
        <f t="shared" si="8"/>
        <v/>
      </c>
      <c r="B37" s="6" t="str">
        <f>IF(Jugadores!B37="","",Jugadores!B37)</f>
        <v/>
      </c>
      <c r="C37" s="2" t="str">
        <f>IF(B37="","",COUNTIFS(Partidos!$C:$C,Partidos!$X$2,Partidos!$D:$D,B37)+COUNTIFS(Partidos!$C:$C,Partidos!$X$2,Partidos!$E:$E,B37)+COUNTIFS(Partidos!$C:$C,Partidos!$X$2,Partidos!$F:$F,B37)+COUNTIFS(Partidos!$C:$C,Partidos!$X$2,Partidos!$G:$G,B37))</f>
        <v/>
      </c>
      <c r="D37" s="2" t="str">
        <f>IF(B37="","",COUNTIFS(Partidos!$C:$C,Partidos!$X$2,Partidos!$P:$P,"A",Partidos!$D:$D,B37)+COUNTIFS(Partidos!$C:$C,Partidos!$X$2,Partidos!$P:$P,"A",Partidos!$E:$E,B37)+COUNTIFS(Partidos!$C:$C,Partidos!$X$2,Partidos!$P:$P,"B",Partidos!$F:$F,B37)+COUNTIFS(Partidos!$C:$C,Partidos!$X$2,Partidos!$P:$P,"B",Partidos!$G:$G,B37))</f>
        <v/>
      </c>
      <c r="E37" s="2" t="str">
        <f t="shared" si="9"/>
        <v/>
      </c>
      <c r="F37" s="2" t="str">
        <f>IF(B37="","",SUMIFS(Partidos!$Q:$Q,Partidos!$C:$C,Partidos!$X$2,Partidos!$D:$D,B37)+SUMIFS(Partidos!$Q:$Q,Partidos!$C:$C,Partidos!$X$2,Partidos!$E:$E,B37)+SUMIFS(Partidos!$R:$R,Partidos!$C:$C,Partidos!$X$2,Partidos!$F:$F,B37)+SUMIFS(Partidos!$R:$R,Partidos!$C:$C,Partidos!$X$2,Partidos!$G:$G,B37))</f>
        <v/>
      </c>
      <c r="G37" s="2" t="str">
        <f>IF(B37="","",SUMIFS(Partidos!$R:$R,Partidos!$C:$C,Partidos!$X$2,Partidos!$D:$D,B37)+SUMIFS(Partidos!$R:$R,Partidos!$C:$C,Partidos!$X$2,Partidos!$E:$E,B37)+SUMIFS(Partidos!$Q:$Q,Partidos!$C:$C,Partidos!$X$2,Partidos!$F:$F,B37)+SUMIFS(Partidos!$Q:$Q,Partidos!$C:$C,Partidos!$X$2,Partidos!$G:$G,B37))</f>
        <v/>
      </c>
      <c r="H37" s="2" t="str">
        <f t="shared" si="10"/>
        <v/>
      </c>
      <c r="I37" s="10" t="str">
        <f>IF(B37="","",SUMIFS(Partidos!$T:$T,Partidos!$C:$C,Partidos!$X$2,Partidos!$D:$D,B37)+SUMIFS(Partidos!$T:$T,Partidos!$C:$C,Partidos!$X$2,Partidos!$E:$E,B37)+SUMIFS(Partidos!$U:$U,Partidos!$C:$C,Partidos!$X$2,Partidos!$F:$F,B37)+SUMIFS(Partidos!$U:$U,Partidos!$C:$C,Partidos!$X$2,Partidos!$G:$G,B37))</f>
        <v/>
      </c>
      <c r="J37" s="10" t="str">
        <f>IF(B37="","",D37*Partidos!$X$3 + E37*Partidos!$X$4 + I37)</f>
        <v/>
      </c>
      <c r="K37" s="10" t="str">
        <f>IF(B37="","",SUMIFS(Partidos!$N:$N,Partidos!$C:$C,Partidos!$X$2,Partidos!$D:$D,B37)+SUMIFS(Partidos!$N:$N,Partidos!$C:$C,Partidos!$X$2,Partidos!$E:$E,B37)+SUMIFS(Partidos!$O:$O,Partidos!$C:$C,Partidos!$X$2,Partidos!$F:$F,B37)+SUMIFS(Partidos!$O:$O,Partidos!$C:$C,Partidos!$X$2,Partidos!$G:$G,B37))</f>
        <v/>
      </c>
      <c r="L37" s="10" t="str">
        <f>IF(B37="","",SUMIFS(Partidos!$O:$O,Partidos!$C:$C,Partidos!$X$2,Partidos!$D:$D,B37)+SUMIFS(Partidos!$O:$O,Partidos!$C:$C,Partidos!$X$2,Partidos!$E:$E,B37)+SUMIFS(Partidos!$N:$N,Partidos!$C:$C,Partidos!$X$2,Partidos!$F:$F,B37)+SUMIFS(Partidos!$N:$N,Partidos!$C:$C,Partidos!$X$2,Partidos!$G:$G,B37))</f>
        <v/>
      </c>
      <c r="M37" s="10" t="str">
        <f t="shared" si="11"/>
        <v/>
      </c>
    </row>
    <row r="38" spans="1:13" x14ac:dyDescent="0.3">
      <c r="A38" s="2" t="str">
        <f t="shared" si="8"/>
        <v/>
      </c>
      <c r="B38" s="6" t="str">
        <f>IF(Jugadores!B38="","",Jugadores!B38)</f>
        <v/>
      </c>
      <c r="C38" s="2" t="str">
        <f>IF(B38="","",COUNTIFS(Partidos!$C:$C,Partidos!$X$2,Partidos!$D:$D,B38)+COUNTIFS(Partidos!$C:$C,Partidos!$X$2,Partidos!$E:$E,B38)+COUNTIFS(Partidos!$C:$C,Partidos!$X$2,Partidos!$F:$F,B38)+COUNTIFS(Partidos!$C:$C,Partidos!$X$2,Partidos!$G:$G,B38))</f>
        <v/>
      </c>
      <c r="D38" s="2" t="str">
        <f>IF(B38="","",COUNTIFS(Partidos!$C:$C,Partidos!$X$2,Partidos!$P:$P,"A",Partidos!$D:$D,B38)+COUNTIFS(Partidos!$C:$C,Partidos!$X$2,Partidos!$P:$P,"A",Partidos!$E:$E,B38)+COUNTIFS(Partidos!$C:$C,Partidos!$X$2,Partidos!$P:$P,"B",Partidos!$F:$F,B38)+COUNTIFS(Partidos!$C:$C,Partidos!$X$2,Partidos!$P:$P,"B",Partidos!$G:$G,B38))</f>
        <v/>
      </c>
      <c r="E38" s="2" t="str">
        <f t="shared" si="9"/>
        <v/>
      </c>
      <c r="F38" s="2" t="str">
        <f>IF(B38="","",SUMIFS(Partidos!$Q:$Q,Partidos!$C:$C,Partidos!$X$2,Partidos!$D:$D,B38)+SUMIFS(Partidos!$Q:$Q,Partidos!$C:$C,Partidos!$X$2,Partidos!$E:$E,B38)+SUMIFS(Partidos!$R:$R,Partidos!$C:$C,Partidos!$X$2,Partidos!$F:$F,B38)+SUMIFS(Partidos!$R:$R,Partidos!$C:$C,Partidos!$X$2,Partidos!$G:$G,B38))</f>
        <v/>
      </c>
      <c r="G38" s="2" t="str">
        <f>IF(B38="","",SUMIFS(Partidos!$R:$R,Partidos!$C:$C,Partidos!$X$2,Partidos!$D:$D,B38)+SUMIFS(Partidos!$R:$R,Partidos!$C:$C,Partidos!$X$2,Partidos!$E:$E,B38)+SUMIFS(Partidos!$Q:$Q,Partidos!$C:$C,Partidos!$X$2,Partidos!$F:$F,B38)+SUMIFS(Partidos!$Q:$Q,Partidos!$C:$C,Partidos!$X$2,Partidos!$G:$G,B38))</f>
        <v/>
      </c>
      <c r="H38" s="2" t="str">
        <f t="shared" si="10"/>
        <v/>
      </c>
      <c r="I38" s="10" t="str">
        <f>IF(B38="","",SUMIFS(Partidos!$T:$T,Partidos!$C:$C,Partidos!$X$2,Partidos!$D:$D,B38)+SUMIFS(Partidos!$T:$T,Partidos!$C:$C,Partidos!$X$2,Partidos!$E:$E,B38)+SUMIFS(Partidos!$U:$U,Partidos!$C:$C,Partidos!$X$2,Partidos!$F:$F,B38)+SUMIFS(Partidos!$U:$U,Partidos!$C:$C,Partidos!$X$2,Partidos!$G:$G,B38))</f>
        <v/>
      </c>
      <c r="J38" s="10" t="str">
        <f>IF(B38="","",D38*Partidos!$X$3 + E38*Partidos!$X$4 + I38)</f>
        <v/>
      </c>
      <c r="K38" s="10" t="str">
        <f>IF(B38="","",SUMIFS(Partidos!$N:$N,Partidos!$C:$C,Partidos!$X$2,Partidos!$D:$D,B38)+SUMIFS(Partidos!$N:$N,Partidos!$C:$C,Partidos!$X$2,Partidos!$E:$E,B38)+SUMIFS(Partidos!$O:$O,Partidos!$C:$C,Partidos!$X$2,Partidos!$F:$F,B38)+SUMIFS(Partidos!$O:$O,Partidos!$C:$C,Partidos!$X$2,Partidos!$G:$G,B38))</f>
        <v/>
      </c>
      <c r="L38" s="10" t="str">
        <f>IF(B38="","",SUMIFS(Partidos!$O:$O,Partidos!$C:$C,Partidos!$X$2,Partidos!$D:$D,B38)+SUMIFS(Partidos!$O:$O,Partidos!$C:$C,Partidos!$X$2,Partidos!$E:$E,B38)+SUMIFS(Partidos!$N:$N,Partidos!$C:$C,Partidos!$X$2,Partidos!$F:$F,B38)+SUMIFS(Partidos!$N:$N,Partidos!$C:$C,Partidos!$X$2,Partidos!$G:$G,B38))</f>
        <v/>
      </c>
      <c r="M38" s="10" t="str">
        <f t="shared" si="11"/>
        <v/>
      </c>
    </row>
    <row r="39" spans="1:13" x14ac:dyDescent="0.3">
      <c r="A39" s="2" t="str">
        <f t="shared" si="8"/>
        <v/>
      </c>
      <c r="B39" s="6" t="str">
        <f>IF(Jugadores!B39="","",Jugadores!B39)</f>
        <v/>
      </c>
      <c r="C39" s="2" t="str">
        <f>IF(B39="","",COUNTIFS(Partidos!$C:$C,Partidos!$X$2,Partidos!$D:$D,B39)+COUNTIFS(Partidos!$C:$C,Partidos!$X$2,Partidos!$E:$E,B39)+COUNTIFS(Partidos!$C:$C,Partidos!$X$2,Partidos!$F:$F,B39)+COUNTIFS(Partidos!$C:$C,Partidos!$X$2,Partidos!$G:$G,B39))</f>
        <v/>
      </c>
      <c r="D39" s="2" t="str">
        <f>IF(B39="","",COUNTIFS(Partidos!$C:$C,Partidos!$X$2,Partidos!$P:$P,"A",Partidos!$D:$D,B39)+COUNTIFS(Partidos!$C:$C,Partidos!$X$2,Partidos!$P:$P,"A",Partidos!$E:$E,B39)+COUNTIFS(Partidos!$C:$C,Partidos!$X$2,Partidos!$P:$P,"B",Partidos!$F:$F,B39)+COUNTIFS(Partidos!$C:$C,Partidos!$X$2,Partidos!$P:$P,"B",Partidos!$G:$G,B39))</f>
        <v/>
      </c>
      <c r="E39" s="2" t="str">
        <f t="shared" si="9"/>
        <v/>
      </c>
      <c r="F39" s="2" t="str">
        <f>IF(B39="","",SUMIFS(Partidos!$Q:$Q,Partidos!$C:$C,Partidos!$X$2,Partidos!$D:$D,B39)+SUMIFS(Partidos!$Q:$Q,Partidos!$C:$C,Partidos!$X$2,Partidos!$E:$E,B39)+SUMIFS(Partidos!$R:$R,Partidos!$C:$C,Partidos!$X$2,Partidos!$F:$F,B39)+SUMIFS(Partidos!$R:$R,Partidos!$C:$C,Partidos!$X$2,Partidos!$G:$G,B39))</f>
        <v/>
      </c>
      <c r="G39" s="2" t="str">
        <f>IF(B39="","",SUMIFS(Partidos!$R:$R,Partidos!$C:$C,Partidos!$X$2,Partidos!$D:$D,B39)+SUMIFS(Partidos!$R:$R,Partidos!$C:$C,Partidos!$X$2,Partidos!$E:$E,B39)+SUMIFS(Partidos!$Q:$Q,Partidos!$C:$C,Partidos!$X$2,Partidos!$F:$F,B39)+SUMIFS(Partidos!$Q:$Q,Partidos!$C:$C,Partidos!$X$2,Partidos!$G:$G,B39))</f>
        <v/>
      </c>
      <c r="H39" s="2" t="str">
        <f t="shared" si="10"/>
        <v/>
      </c>
      <c r="I39" s="10" t="str">
        <f>IF(B39="","",SUMIFS(Partidos!$T:$T,Partidos!$C:$C,Partidos!$X$2,Partidos!$D:$D,B39)+SUMIFS(Partidos!$T:$T,Partidos!$C:$C,Partidos!$X$2,Partidos!$E:$E,B39)+SUMIFS(Partidos!$U:$U,Partidos!$C:$C,Partidos!$X$2,Partidos!$F:$F,B39)+SUMIFS(Partidos!$U:$U,Partidos!$C:$C,Partidos!$X$2,Partidos!$G:$G,B39))</f>
        <v/>
      </c>
      <c r="J39" s="10" t="str">
        <f>IF(B39="","",D39*Partidos!$X$3 + E39*Partidos!$X$4 + I39)</f>
        <v/>
      </c>
      <c r="K39" s="10" t="str">
        <f>IF(B39="","",SUMIFS(Partidos!$N:$N,Partidos!$C:$C,Partidos!$X$2,Partidos!$D:$D,B39)+SUMIFS(Partidos!$N:$N,Partidos!$C:$C,Partidos!$X$2,Partidos!$E:$E,B39)+SUMIFS(Partidos!$O:$O,Partidos!$C:$C,Partidos!$X$2,Partidos!$F:$F,B39)+SUMIFS(Partidos!$O:$O,Partidos!$C:$C,Partidos!$X$2,Partidos!$G:$G,B39))</f>
        <v/>
      </c>
      <c r="L39" s="10" t="str">
        <f>IF(B39="","",SUMIFS(Partidos!$O:$O,Partidos!$C:$C,Partidos!$X$2,Partidos!$D:$D,B39)+SUMIFS(Partidos!$O:$O,Partidos!$C:$C,Partidos!$X$2,Partidos!$E:$E,B39)+SUMIFS(Partidos!$N:$N,Partidos!$C:$C,Partidos!$X$2,Partidos!$F:$F,B39)+SUMIFS(Partidos!$N:$N,Partidos!$C:$C,Partidos!$X$2,Partidos!$G:$G,B39))</f>
        <v/>
      </c>
      <c r="M39" s="10" t="str">
        <f t="shared" si="11"/>
        <v/>
      </c>
    </row>
    <row r="40" spans="1:13" x14ac:dyDescent="0.3">
      <c r="A40" s="2" t="str">
        <f t="shared" si="8"/>
        <v/>
      </c>
      <c r="B40" s="6" t="str">
        <f>IF(Jugadores!B40="","",Jugadores!B40)</f>
        <v/>
      </c>
      <c r="C40" s="2" t="str">
        <f>IF(B40="","",COUNTIFS(Partidos!$C:$C,Partidos!$X$2,Partidos!$D:$D,B40)+COUNTIFS(Partidos!$C:$C,Partidos!$X$2,Partidos!$E:$E,B40)+COUNTIFS(Partidos!$C:$C,Partidos!$X$2,Partidos!$F:$F,B40)+COUNTIFS(Partidos!$C:$C,Partidos!$X$2,Partidos!$G:$G,B40))</f>
        <v/>
      </c>
      <c r="D40" s="2" t="str">
        <f>IF(B40="","",COUNTIFS(Partidos!$C:$C,Partidos!$X$2,Partidos!$P:$P,"A",Partidos!$D:$D,B40)+COUNTIFS(Partidos!$C:$C,Partidos!$X$2,Partidos!$P:$P,"A",Partidos!$E:$E,B40)+COUNTIFS(Partidos!$C:$C,Partidos!$X$2,Partidos!$P:$P,"B",Partidos!$F:$F,B40)+COUNTIFS(Partidos!$C:$C,Partidos!$X$2,Partidos!$P:$P,"B",Partidos!$G:$G,B40))</f>
        <v/>
      </c>
      <c r="E40" s="2" t="str">
        <f t="shared" si="9"/>
        <v/>
      </c>
      <c r="F40" s="2" t="str">
        <f>IF(B40="","",SUMIFS(Partidos!$Q:$Q,Partidos!$C:$C,Partidos!$X$2,Partidos!$D:$D,B40)+SUMIFS(Partidos!$Q:$Q,Partidos!$C:$C,Partidos!$X$2,Partidos!$E:$E,B40)+SUMIFS(Partidos!$R:$R,Partidos!$C:$C,Partidos!$X$2,Partidos!$F:$F,B40)+SUMIFS(Partidos!$R:$R,Partidos!$C:$C,Partidos!$X$2,Partidos!$G:$G,B40))</f>
        <v/>
      </c>
      <c r="G40" s="2" t="str">
        <f>IF(B40="","",SUMIFS(Partidos!$R:$R,Partidos!$C:$C,Partidos!$X$2,Partidos!$D:$D,B40)+SUMIFS(Partidos!$R:$R,Partidos!$C:$C,Partidos!$X$2,Partidos!$E:$E,B40)+SUMIFS(Partidos!$Q:$Q,Partidos!$C:$C,Partidos!$X$2,Partidos!$F:$F,B40)+SUMIFS(Partidos!$Q:$Q,Partidos!$C:$C,Partidos!$X$2,Partidos!$G:$G,B40))</f>
        <v/>
      </c>
      <c r="H40" s="2" t="str">
        <f t="shared" si="10"/>
        <v/>
      </c>
      <c r="I40" s="10" t="str">
        <f>IF(B40="","",SUMIFS(Partidos!$T:$T,Partidos!$C:$C,Partidos!$X$2,Partidos!$D:$D,B40)+SUMIFS(Partidos!$T:$T,Partidos!$C:$C,Partidos!$X$2,Partidos!$E:$E,B40)+SUMIFS(Partidos!$U:$U,Partidos!$C:$C,Partidos!$X$2,Partidos!$F:$F,B40)+SUMIFS(Partidos!$U:$U,Partidos!$C:$C,Partidos!$X$2,Partidos!$G:$G,B40))</f>
        <v/>
      </c>
      <c r="J40" s="10" t="str">
        <f>IF(B40="","",D40*Partidos!$X$3 + E40*Partidos!$X$4 + I40)</f>
        <v/>
      </c>
      <c r="K40" s="10" t="str">
        <f>IF(B40="","",SUMIFS(Partidos!$N:$N,Partidos!$C:$C,Partidos!$X$2,Partidos!$D:$D,B40)+SUMIFS(Partidos!$N:$N,Partidos!$C:$C,Partidos!$X$2,Partidos!$E:$E,B40)+SUMIFS(Partidos!$O:$O,Partidos!$C:$C,Partidos!$X$2,Partidos!$F:$F,B40)+SUMIFS(Partidos!$O:$O,Partidos!$C:$C,Partidos!$X$2,Partidos!$G:$G,B40))</f>
        <v/>
      </c>
      <c r="L40" s="10" t="str">
        <f>IF(B40="","",SUMIFS(Partidos!$O:$O,Partidos!$C:$C,Partidos!$X$2,Partidos!$D:$D,B40)+SUMIFS(Partidos!$O:$O,Partidos!$C:$C,Partidos!$X$2,Partidos!$E:$E,B40)+SUMIFS(Partidos!$N:$N,Partidos!$C:$C,Partidos!$X$2,Partidos!$F:$F,B40)+SUMIFS(Partidos!$N:$N,Partidos!$C:$C,Partidos!$X$2,Partidos!$G:$G,B40))</f>
        <v/>
      </c>
      <c r="M40" s="10" t="str">
        <f t="shared" si="11"/>
        <v/>
      </c>
    </row>
    <row r="41" spans="1:13" x14ac:dyDescent="0.3">
      <c r="A41" s="2" t="str">
        <f t="shared" si="8"/>
        <v/>
      </c>
      <c r="B41" s="6" t="str">
        <f>IF(Jugadores!B41="","",Jugadores!B41)</f>
        <v/>
      </c>
      <c r="C41" s="2" t="str">
        <f>IF(B41="","",COUNTIFS(Partidos!$C:$C,Partidos!$X$2,Partidos!$D:$D,B41)+COUNTIFS(Partidos!$C:$C,Partidos!$X$2,Partidos!$E:$E,B41)+COUNTIFS(Partidos!$C:$C,Partidos!$X$2,Partidos!$F:$F,B41)+COUNTIFS(Partidos!$C:$C,Partidos!$X$2,Partidos!$G:$G,B41))</f>
        <v/>
      </c>
      <c r="D41" s="2" t="str">
        <f>IF(B41="","",COUNTIFS(Partidos!$C:$C,Partidos!$X$2,Partidos!$P:$P,"A",Partidos!$D:$D,B41)+COUNTIFS(Partidos!$C:$C,Partidos!$X$2,Partidos!$P:$P,"A",Partidos!$E:$E,B41)+COUNTIFS(Partidos!$C:$C,Partidos!$X$2,Partidos!$P:$P,"B",Partidos!$F:$F,B41)+COUNTIFS(Partidos!$C:$C,Partidos!$X$2,Partidos!$P:$P,"B",Partidos!$G:$G,B41))</f>
        <v/>
      </c>
      <c r="E41" s="2" t="str">
        <f t="shared" si="9"/>
        <v/>
      </c>
      <c r="F41" s="2" t="str">
        <f>IF(B41="","",SUMIFS(Partidos!$Q:$Q,Partidos!$C:$C,Partidos!$X$2,Partidos!$D:$D,B41)+SUMIFS(Partidos!$Q:$Q,Partidos!$C:$C,Partidos!$X$2,Partidos!$E:$E,B41)+SUMIFS(Partidos!$R:$R,Partidos!$C:$C,Partidos!$X$2,Partidos!$F:$F,B41)+SUMIFS(Partidos!$R:$R,Partidos!$C:$C,Partidos!$X$2,Partidos!$G:$G,B41))</f>
        <v/>
      </c>
      <c r="G41" s="2" t="str">
        <f>IF(B41="","",SUMIFS(Partidos!$R:$R,Partidos!$C:$C,Partidos!$X$2,Partidos!$D:$D,B41)+SUMIFS(Partidos!$R:$R,Partidos!$C:$C,Partidos!$X$2,Partidos!$E:$E,B41)+SUMIFS(Partidos!$Q:$Q,Partidos!$C:$C,Partidos!$X$2,Partidos!$F:$F,B41)+SUMIFS(Partidos!$Q:$Q,Partidos!$C:$C,Partidos!$X$2,Partidos!$G:$G,B41))</f>
        <v/>
      </c>
      <c r="H41" s="2" t="str">
        <f t="shared" si="10"/>
        <v/>
      </c>
      <c r="I41" s="10" t="str">
        <f>IF(B41="","",SUMIFS(Partidos!$T:$T,Partidos!$C:$C,Partidos!$X$2,Partidos!$D:$D,B41)+SUMIFS(Partidos!$T:$T,Partidos!$C:$C,Partidos!$X$2,Partidos!$E:$E,B41)+SUMIFS(Partidos!$U:$U,Partidos!$C:$C,Partidos!$X$2,Partidos!$F:$F,B41)+SUMIFS(Partidos!$U:$U,Partidos!$C:$C,Partidos!$X$2,Partidos!$G:$G,B41))</f>
        <v/>
      </c>
      <c r="J41" s="10" t="str">
        <f>IF(B41="","",D41*Partidos!$X$3 + E41*Partidos!$X$4 + I41)</f>
        <v/>
      </c>
      <c r="K41" s="10" t="str">
        <f>IF(B41="","",SUMIFS(Partidos!$N:$N,Partidos!$C:$C,Partidos!$X$2,Partidos!$D:$D,B41)+SUMIFS(Partidos!$N:$N,Partidos!$C:$C,Partidos!$X$2,Partidos!$E:$E,B41)+SUMIFS(Partidos!$O:$O,Partidos!$C:$C,Partidos!$X$2,Partidos!$F:$F,B41)+SUMIFS(Partidos!$O:$O,Partidos!$C:$C,Partidos!$X$2,Partidos!$G:$G,B41))</f>
        <v/>
      </c>
      <c r="L41" s="10" t="str">
        <f>IF(B41="","",SUMIFS(Partidos!$O:$O,Partidos!$C:$C,Partidos!$X$2,Partidos!$D:$D,B41)+SUMIFS(Partidos!$O:$O,Partidos!$C:$C,Partidos!$X$2,Partidos!$E:$E,B41)+SUMIFS(Partidos!$N:$N,Partidos!$C:$C,Partidos!$X$2,Partidos!$F:$F,B41)+SUMIFS(Partidos!$N:$N,Partidos!$C:$C,Partidos!$X$2,Partidos!$G:$G,B41))</f>
        <v/>
      </c>
      <c r="M41" s="10" t="str">
        <f t="shared" si="11"/>
        <v/>
      </c>
    </row>
    <row r="42" spans="1:13" x14ac:dyDescent="0.3">
      <c r="A42" s="2" t="str">
        <f t="shared" si="8"/>
        <v/>
      </c>
      <c r="B42" s="6" t="str">
        <f>IF(Jugadores!B42="","",Jugadores!B42)</f>
        <v/>
      </c>
      <c r="C42" s="2" t="str">
        <f>IF(B42="","",COUNTIFS(Partidos!$C:$C,Partidos!$X$2,Partidos!$D:$D,B42)+COUNTIFS(Partidos!$C:$C,Partidos!$X$2,Partidos!$E:$E,B42)+COUNTIFS(Partidos!$C:$C,Partidos!$X$2,Partidos!$F:$F,B42)+COUNTIFS(Partidos!$C:$C,Partidos!$X$2,Partidos!$G:$G,B42))</f>
        <v/>
      </c>
      <c r="D42" s="2" t="str">
        <f>IF(B42="","",COUNTIFS(Partidos!$C:$C,Partidos!$X$2,Partidos!$P:$P,"A",Partidos!$D:$D,B42)+COUNTIFS(Partidos!$C:$C,Partidos!$X$2,Partidos!$P:$P,"A",Partidos!$E:$E,B42)+COUNTIFS(Partidos!$C:$C,Partidos!$X$2,Partidos!$P:$P,"B",Partidos!$F:$F,B42)+COUNTIFS(Partidos!$C:$C,Partidos!$X$2,Partidos!$P:$P,"B",Partidos!$G:$G,B42))</f>
        <v/>
      </c>
      <c r="E42" s="2" t="str">
        <f t="shared" si="9"/>
        <v/>
      </c>
      <c r="F42" s="2" t="str">
        <f>IF(B42="","",SUMIFS(Partidos!$Q:$Q,Partidos!$C:$C,Partidos!$X$2,Partidos!$D:$D,B42)+SUMIFS(Partidos!$Q:$Q,Partidos!$C:$C,Partidos!$X$2,Partidos!$E:$E,B42)+SUMIFS(Partidos!$R:$R,Partidos!$C:$C,Partidos!$X$2,Partidos!$F:$F,B42)+SUMIFS(Partidos!$R:$R,Partidos!$C:$C,Partidos!$X$2,Partidos!$G:$G,B42))</f>
        <v/>
      </c>
      <c r="G42" s="2" t="str">
        <f>IF(B42="","",SUMIFS(Partidos!$R:$R,Partidos!$C:$C,Partidos!$X$2,Partidos!$D:$D,B42)+SUMIFS(Partidos!$R:$R,Partidos!$C:$C,Partidos!$X$2,Partidos!$E:$E,B42)+SUMIFS(Partidos!$Q:$Q,Partidos!$C:$C,Partidos!$X$2,Partidos!$F:$F,B42)+SUMIFS(Partidos!$Q:$Q,Partidos!$C:$C,Partidos!$X$2,Partidos!$G:$G,B42))</f>
        <v/>
      </c>
      <c r="H42" s="2" t="str">
        <f t="shared" si="10"/>
        <v/>
      </c>
      <c r="I42" s="10" t="str">
        <f>IF(B42="","",SUMIFS(Partidos!$T:$T,Partidos!$C:$C,Partidos!$X$2,Partidos!$D:$D,B42)+SUMIFS(Partidos!$T:$T,Partidos!$C:$C,Partidos!$X$2,Partidos!$E:$E,B42)+SUMIFS(Partidos!$U:$U,Partidos!$C:$C,Partidos!$X$2,Partidos!$F:$F,B42)+SUMIFS(Partidos!$U:$U,Partidos!$C:$C,Partidos!$X$2,Partidos!$G:$G,B42))</f>
        <v/>
      </c>
      <c r="J42" s="10" t="str">
        <f>IF(B42="","",D42*Partidos!$X$3 + E42*Partidos!$X$4 + I42)</f>
        <v/>
      </c>
      <c r="K42" s="10" t="str">
        <f>IF(B42="","",SUMIFS(Partidos!$N:$N,Partidos!$C:$C,Partidos!$X$2,Partidos!$D:$D,B42)+SUMIFS(Partidos!$N:$N,Partidos!$C:$C,Partidos!$X$2,Partidos!$E:$E,B42)+SUMIFS(Partidos!$O:$O,Partidos!$C:$C,Partidos!$X$2,Partidos!$F:$F,B42)+SUMIFS(Partidos!$O:$O,Partidos!$C:$C,Partidos!$X$2,Partidos!$G:$G,B42))</f>
        <v/>
      </c>
      <c r="L42" s="10" t="str">
        <f>IF(B42="","",SUMIFS(Partidos!$O:$O,Partidos!$C:$C,Partidos!$X$2,Partidos!$D:$D,B42)+SUMIFS(Partidos!$O:$O,Partidos!$C:$C,Partidos!$X$2,Partidos!$E:$E,B42)+SUMIFS(Partidos!$N:$N,Partidos!$C:$C,Partidos!$X$2,Partidos!$F:$F,B42)+SUMIFS(Partidos!$N:$N,Partidos!$C:$C,Partidos!$X$2,Partidos!$G:$G,B42))</f>
        <v/>
      </c>
      <c r="M42" s="10" t="str">
        <f t="shared" si="11"/>
        <v/>
      </c>
    </row>
    <row r="43" spans="1:13" x14ac:dyDescent="0.3">
      <c r="A43" s="2" t="str">
        <f t="shared" si="8"/>
        <v/>
      </c>
      <c r="B43" s="6" t="str">
        <f>IF(Jugadores!B43="","",Jugadores!B43)</f>
        <v/>
      </c>
      <c r="C43" s="2" t="str">
        <f>IF(B43="","",COUNTIFS(Partidos!$C:$C,Partidos!$X$2,Partidos!$D:$D,B43)+COUNTIFS(Partidos!$C:$C,Partidos!$X$2,Partidos!$E:$E,B43)+COUNTIFS(Partidos!$C:$C,Partidos!$X$2,Partidos!$F:$F,B43)+COUNTIFS(Partidos!$C:$C,Partidos!$X$2,Partidos!$G:$G,B43))</f>
        <v/>
      </c>
      <c r="D43" s="2" t="str">
        <f>IF(B43="","",COUNTIFS(Partidos!$C:$C,Partidos!$X$2,Partidos!$P:$P,"A",Partidos!$D:$D,B43)+COUNTIFS(Partidos!$C:$C,Partidos!$X$2,Partidos!$P:$P,"A",Partidos!$E:$E,B43)+COUNTIFS(Partidos!$C:$C,Partidos!$X$2,Partidos!$P:$P,"B",Partidos!$F:$F,B43)+COUNTIFS(Partidos!$C:$C,Partidos!$X$2,Partidos!$P:$P,"B",Partidos!$G:$G,B43))</f>
        <v/>
      </c>
      <c r="E43" s="2" t="str">
        <f t="shared" si="9"/>
        <v/>
      </c>
      <c r="F43" s="2" t="str">
        <f>IF(B43="","",SUMIFS(Partidos!$Q:$Q,Partidos!$C:$C,Partidos!$X$2,Partidos!$D:$D,B43)+SUMIFS(Partidos!$Q:$Q,Partidos!$C:$C,Partidos!$X$2,Partidos!$E:$E,B43)+SUMIFS(Partidos!$R:$R,Partidos!$C:$C,Partidos!$X$2,Partidos!$F:$F,B43)+SUMIFS(Partidos!$R:$R,Partidos!$C:$C,Partidos!$X$2,Partidos!$G:$G,B43))</f>
        <v/>
      </c>
      <c r="G43" s="2" t="str">
        <f>IF(B43="","",SUMIFS(Partidos!$R:$R,Partidos!$C:$C,Partidos!$X$2,Partidos!$D:$D,B43)+SUMIFS(Partidos!$R:$R,Partidos!$C:$C,Partidos!$X$2,Partidos!$E:$E,B43)+SUMIFS(Partidos!$Q:$Q,Partidos!$C:$C,Partidos!$X$2,Partidos!$F:$F,B43)+SUMIFS(Partidos!$Q:$Q,Partidos!$C:$C,Partidos!$X$2,Partidos!$G:$G,B43))</f>
        <v/>
      </c>
      <c r="H43" s="2" t="str">
        <f t="shared" si="10"/>
        <v/>
      </c>
      <c r="I43" s="10" t="str">
        <f>IF(B43="","",SUMIFS(Partidos!$T:$T,Partidos!$C:$C,Partidos!$X$2,Partidos!$D:$D,B43)+SUMIFS(Partidos!$T:$T,Partidos!$C:$C,Partidos!$X$2,Partidos!$E:$E,B43)+SUMIFS(Partidos!$U:$U,Partidos!$C:$C,Partidos!$X$2,Partidos!$F:$F,B43)+SUMIFS(Partidos!$U:$U,Partidos!$C:$C,Partidos!$X$2,Partidos!$G:$G,B43))</f>
        <v/>
      </c>
      <c r="J43" s="10" t="str">
        <f>IF(B43="","",D43*Partidos!$X$3 + E43*Partidos!$X$4 + I43)</f>
        <v/>
      </c>
      <c r="K43" s="10" t="str">
        <f>IF(B43="","",SUMIFS(Partidos!$N:$N,Partidos!$C:$C,Partidos!$X$2,Partidos!$D:$D,B43)+SUMIFS(Partidos!$N:$N,Partidos!$C:$C,Partidos!$X$2,Partidos!$E:$E,B43)+SUMIFS(Partidos!$O:$O,Partidos!$C:$C,Partidos!$X$2,Partidos!$F:$F,B43)+SUMIFS(Partidos!$O:$O,Partidos!$C:$C,Partidos!$X$2,Partidos!$G:$G,B43))</f>
        <v/>
      </c>
      <c r="L43" s="10" t="str">
        <f>IF(B43="","",SUMIFS(Partidos!$O:$O,Partidos!$C:$C,Partidos!$X$2,Partidos!$D:$D,B43)+SUMIFS(Partidos!$O:$O,Partidos!$C:$C,Partidos!$X$2,Partidos!$E:$E,B43)+SUMIFS(Partidos!$N:$N,Partidos!$C:$C,Partidos!$X$2,Partidos!$F:$F,B43)+SUMIFS(Partidos!$N:$N,Partidos!$C:$C,Partidos!$X$2,Partidos!$G:$G,B43))</f>
        <v/>
      </c>
      <c r="M43" s="10" t="str">
        <f t="shared" si="11"/>
        <v/>
      </c>
    </row>
    <row r="44" spans="1:13" x14ac:dyDescent="0.3">
      <c r="A44" s="2" t="str">
        <f t="shared" si="8"/>
        <v/>
      </c>
      <c r="B44" s="6" t="str">
        <f>IF(Jugadores!B44="","",Jugadores!B44)</f>
        <v/>
      </c>
      <c r="C44" s="2" t="str">
        <f>IF(B44="","",COUNTIFS(Partidos!$C:$C,Partidos!$X$2,Partidos!$D:$D,B44)+COUNTIFS(Partidos!$C:$C,Partidos!$X$2,Partidos!$E:$E,B44)+COUNTIFS(Partidos!$C:$C,Partidos!$X$2,Partidos!$F:$F,B44)+COUNTIFS(Partidos!$C:$C,Partidos!$X$2,Partidos!$G:$G,B44))</f>
        <v/>
      </c>
      <c r="D44" s="2" t="str">
        <f>IF(B44="","",COUNTIFS(Partidos!$C:$C,Partidos!$X$2,Partidos!$P:$P,"A",Partidos!$D:$D,B44)+COUNTIFS(Partidos!$C:$C,Partidos!$X$2,Partidos!$P:$P,"A",Partidos!$E:$E,B44)+COUNTIFS(Partidos!$C:$C,Partidos!$X$2,Partidos!$P:$P,"B",Partidos!$F:$F,B44)+COUNTIFS(Partidos!$C:$C,Partidos!$X$2,Partidos!$P:$P,"B",Partidos!$G:$G,B44))</f>
        <v/>
      </c>
      <c r="E44" s="2" t="str">
        <f t="shared" si="9"/>
        <v/>
      </c>
      <c r="F44" s="2" t="str">
        <f>IF(B44="","",SUMIFS(Partidos!$Q:$Q,Partidos!$C:$C,Partidos!$X$2,Partidos!$D:$D,B44)+SUMIFS(Partidos!$Q:$Q,Partidos!$C:$C,Partidos!$X$2,Partidos!$E:$E,B44)+SUMIFS(Partidos!$R:$R,Partidos!$C:$C,Partidos!$X$2,Partidos!$F:$F,B44)+SUMIFS(Partidos!$R:$R,Partidos!$C:$C,Partidos!$X$2,Partidos!$G:$G,B44))</f>
        <v/>
      </c>
      <c r="G44" s="2" t="str">
        <f>IF(B44="","",SUMIFS(Partidos!$R:$R,Partidos!$C:$C,Partidos!$X$2,Partidos!$D:$D,B44)+SUMIFS(Partidos!$R:$R,Partidos!$C:$C,Partidos!$X$2,Partidos!$E:$E,B44)+SUMIFS(Partidos!$Q:$Q,Partidos!$C:$C,Partidos!$X$2,Partidos!$F:$F,B44)+SUMIFS(Partidos!$Q:$Q,Partidos!$C:$C,Partidos!$X$2,Partidos!$G:$G,B44))</f>
        <v/>
      </c>
      <c r="H44" s="2" t="str">
        <f t="shared" si="10"/>
        <v/>
      </c>
      <c r="I44" s="10" t="str">
        <f>IF(B44="","",SUMIFS(Partidos!$T:$T,Partidos!$C:$C,Partidos!$X$2,Partidos!$D:$D,B44)+SUMIFS(Partidos!$T:$T,Partidos!$C:$C,Partidos!$X$2,Partidos!$E:$E,B44)+SUMIFS(Partidos!$U:$U,Partidos!$C:$C,Partidos!$X$2,Partidos!$F:$F,B44)+SUMIFS(Partidos!$U:$U,Partidos!$C:$C,Partidos!$X$2,Partidos!$G:$G,B44))</f>
        <v/>
      </c>
      <c r="J44" s="10" t="str">
        <f>IF(B44="","",D44*Partidos!$X$3 + E44*Partidos!$X$4 + I44)</f>
        <v/>
      </c>
      <c r="K44" s="10" t="str">
        <f>IF(B44="","",SUMIFS(Partidos!$N:$N,Partidos!$C:$C,Partidos!$X$2,Partidos!$D:$D,B44)+SUMIFS(Partidos!$N:$N,Partidos!$C:$C,Partidos!$X$2,Partidos!$E:$E,B44)+SUMIFS(Partidos!$O:$O,Partidos!$C:$C,Partidos!$X$2,Partidos!$F:$F,B44)+SUMIFS(Partidos!$O:$O,Partidos!$C:$C,Partidos!$X$2,Partidos!$G:$G,B44))</f>
        <v/>
      </c>
      <c r="L44" s="10" t="str">
        <f>IF(B44="","",SUMIFS(Partidos!$O:$O,Partidos!$C:$C,Partidos!$X$2,Partidos!$D:$D,B44)+SUMIFS(Partidos!$O:$O,Partidos!$C:$C,Partidos!$X$2,Partidos!$E:$E,B44)+SUMIFS(Partidos!$N:$N,Partidos!$C:$C,Partidos!$X$2,Partidos!$F:$F,B44)+SUMIFS(Partidos!$N:$N,Partidos!$C:$C,Partidos!$X$2,Partidos!$G:$G,B44))</f>
        <v/>
      </c>
      <c r="M44" s="10" t="str">
        <f t="shared" si="11"/>
        <v/>
      </c>
    </row>
    <row r="45" spans="1:13" x14ac:dyDescent="0.3">
      <c r="A45" s="2" t="str">
        <f t="shared" si="8"/>
        <v/>
      </c>
      <c r="B45" s="6" t="str">
        <f>IF(Jugadores!B45="","",Jugadores!B45)</f>
        <v/>
      </c>
      <c r="C45" s="2" t="str">
        <f>IF(B45="","",COUNTIFS(Partidos!$C:$C,Partidos!$X$2,Partidos!$D:$D,B45)+COUNTIFS(Partidos!$C:$C,Partidos!$X$2,Partidos!$E:$E,B45)+COUNTIFS(Partidos!$C:$C,Partidos!$X$2,Partidos!$F:$F,B45)+COUNTIFS(Partidos!$C:$C,Partidos!$X$2,Partidos!$G:$G,B45))</f>
        <v/>
      </c>
      <c r="D45" s="2" t="str">
        <f>IF(B45="","",COUNTIFS(Partidos!$C:$C,Partidos!$X$2,Partidos!$P:$P,"A",Partidos!$D:$D,B45)+COUNTIFS(Partidos!$C:$C,Partidos!$X$2,Partidos!$P:$P,"A",Partidos!$E:$E,B45)+COUNTIFS(Partidos!$C:$C,Partidos!$X$2,Partidos!$P:$P,"B",Partidos!$F:$F,B45)+COUNTIFS(Partidos!$C:$C,Partidos!$X$2,Partidos!$P:$P,"B",Partidos!$G:$G,B45))</f>
        <v/>
      </c>
      <c r="E45" s="2" t="str">
        <f t="shared" si="9"/>
        <v/>
      </c>
      <c r="F45" s="2" t="str">
        <f>IF(B45="","",SUMIFS(Partidos!$Q:$Q,Partidos!$C:$C,Partidos!$X$2,Partidos!$D:$D,B45)+SUMIFS(Partidos!$Q:$Q,Partidos!$C:$C,Partidos!$X$2,Partidos!$E:$E,B45)+SUMIFS(Partidos!$R:$R,Partidos!$C:$C,Partidos!$X$2,Partidos!$F:$F,B45)+SUMIFS(Partidos!$R:$R,Partidos!$C:$C,Partidos!$X$2,Partidos!$G:$G,B45))</f>
        <v/>
      </c>
      <c r="G45" s="2" t="str">
        <f>IF(B45="","",SUMIFS(Partidos!$R:$R,Partidos!$C:$C,Partidos!$X$2,Partidos!$D:$D,B45)+SUMIFS(Partidos!$R:$R,Partidos!$C:$C,Partidos!$X$2,Partidos!$E:$E,B45)+SUMIFS(Partidos!$Q:$Q,Partidos!$C:$C,Partidos!$X$2,Partidos!$F:$F,B45)+SUMIFS(Partidos!$Q:$Q,Partidos!$C:$C,Partidos!$X$2,Partidos!$G:$G,B45))</f>
        <v/>
      </c>
      <c r="H45" s="2" t="str">
        <f t="shared" si="10"/>
        <v/>
      </c>
      <c r="I45" s="10" t="str">
        <f>IF(B45="","",SUMIFS(Partidos!$T:$T,Partidos!$C:$C,Partidos!$X$2,Partidos!$D:$D,B45)+SUMIFS(Partidos!$T:$T,Partidos!$C:$C,Partidos!$X$2,Partidos!$E:$E,B45)+SUMIFS(Partidos!$U:$U,Partidos!$C:$C,Partidos!$X$2,Partidos!$F:$F,B45)+SUMIFS(Partidos!$U:$U,Partidos!$C:$C,Partidos!$X$2,Partidos!$G:$G,B45))</f>
        <v/>
      </c>
      <c r="J45" s="10" t="str">
        <f>IF(B45="","",D45*Partidos!$X$3 + E45*Partidos!$X$4 + I45)</f>
        <v/>
      </c>
      <c r="K45" s="10" t="str">
        <f>IF(B45="","",SUMIFS(Partidos!$N:$N,Partidos!$C:$C,Partidos!$X$2,Partidos!$D:$D,B45)+SUMIFS(Partidos!$N:$N,Partidos!$C:$C,Partidos!$X$2,Partidos!$E:$E,B45)+SUMIFS(Partidos!$O:$O,Partidos!$C:$C,Partidos!$X$2,Partidos!$F:$F,B45)+SUMIFS(Partidos!$O:$O,Partidos!$C:$C,Partidos!$X$2,Partidos!$G:$G,B45))</f>
        <v/>
      </c>
      <c r="L45" s="10" t="str">
        <f>IF(B45="","",SUMIFS(Partidos!$O:$O,Partidos!$C:$C,Partidos!$X$2,Partidos!$D:$D,B45)+SUMIFS(Partidos!$O:$O,Partidos!$C:$C,Partidos!$X$2,Partidos!$E:$E,B45)+SUMIFS(Partidos!$N:$N,Partidos!$C:$C,Partidos!$X$2,Partidos!$F:$F,B45)+SUMIFS(Partidos!$N:$N,Partidos!$C:$C,Partidos!$X$2,Partidos!$G:$G,B45))</f>
        <v/>
      </c>
      <c r="M45" s="10" t="str">
        <f t="shared" si="11"/>
        <v/>
      </c>
    </row>
    <row r="46" spans="1:13" x14ac:dyDescent="0.3">
      <c r="A46" s="2" t="str">
        <f t="shared" si="8"/>
        <v/>
      </c>
      <c r="B46" s="6" t="str">
        <f>IF(Jugadores!B46="","",Jugadores!B46)</f>
        <v/>
      </c>
      <c r="C46" s="2" t="str">
        <f>IF(B46="","",COUNTIFS(Partidos!$C:$C,Partidos!$X$2,Partidos!$D:$D,B46)+COUNTIFS(Partidos!$C:$C,Partidos!$X$2,Partidos!$E:$E,B46)+COUNTIFS(Partidos!$C:$C,Partidos!$X$2,Partidos!$F:$F,B46)+COUNTIFS(Partidos!$C:$C,Partidos!$X$2,Partidos!$G:$G,B46))</f>
        <v/>
      </c>
      <c r="D46" s="2" t="str">
        <f>IF(B46="","",COUNTIFS(Partidos!$C:$C,Partidos!$X$2,Partidos!$P:$P,"A",Partidos!$D:$D,B46)+COUNTIFS(Partidos!$C:$C,Partidos!$X$2,Partidos!$P:$P,"A",Partidos!$E:$E,B46)+COUNTIFS(Partidos!$C:$C,Partidos!$X$2,Partidos!$P:$P,"B",Partidos!$F:$F,B46)+COUNTIFS(Partidos!$C:$C,Partidos!$X$2,Partidos!$P:$P,"B",Partidos!$G:$G,B46))</f>
        <v/>
      </c>
      <c r="E46" s="2" t="str">
        <f t="shared" si="9"/>
        <v/>
      </c>
      <c r="F46" s="2" t="str">
        <f>IF(B46="","",SUMIFS(Partidos!$Q:$Q,Partidos!$C:$C,Partidos!$X$2,Partidos!$D:$D,B46)+SUMIFS(Partidos!$Q:$Q,Partidos!$C:$C,Partidos!$X$2,Partidos!$E:$E,B46)+SUMIFS(Partidos!$R:$R,Partidos!$C:$C,Partidos!$X$2,Partidos!$F:$F,B46)+SUMIFS(Partidos!$R:$R,Partidos!$C:$C,Partidos!$X$2,Partidos!$G:$G,B46))</f>
        <v/>
      </c>
      <c r="G46" s="2" t="str">
        <f>IF(B46="","",SUMIFS(Partidos!$R:$R,Partidos!$C:$C,Partidos!$X$2,Partidos!$D:$D,B46)+SUMIFS(Partidos!$R:$R,Partidos!$C:$C,Partidos!$X$2,Partidos!$E:$E,B46)+SUMIFS(Partidos!$Q:$Q,Partidos!$C:$C,Partidos!$X$2,Partidos!$F:$F,B46)+SUMIFS(Partidos!$Q:$Q,Partidos!$C:$C,Partidos!$X$2,Partidos!$G:$G,B46))</f>
        <v/>
      </c>
      <c r="H46" s="2" t="str">
        <f t="shared" si="10"/>
        <v/>
      </c>
      <c r="I46" s="10" t="str">
        <f>IF(B46="","",SUMIFS(Partidos!$T:$T,Partidos!$C:$C,Partidos!$X$2,Partidos!$D:$D,B46)+SUMIFS(Partidos!$T:$T,Partidos!$C:$C,Partidos!$X$2,Partidos!$E:$E,B46)+SUMIFS(Partidos!$U:$U,Partidos!$C:$C,Partidos!$X$2,Partidos!$F:$F,B46)+SUMIFS(Partidos!$U:$U,Partidos!$C:$C,Partidos!$X$2,Partidos!$G:$G,B46))</f>
        <v/>
      </c>
      <c r="J46" s="10" t="str">
        <f>IF(B46="","",D46*Partidos!$X$3 + E46*Partidos!$X$4 + I46)</f>
        <v/>
      </c>
      <c r="K46" s="10" t="str">
        <f>IF(B46="","",SUMIFS(Partidos!$N:$N,Partidos!$C:$C,Partidos!$X$2,Partidos!$D:$D,B46)+SUMIFS(Partidos!$N:$N,Partidos!$C:$C,Partidos!$X$2,Partidos!$E:$E,B46)+SUMIFS(Partidos!$O:$O,Partidos!$C:$C,Partidos!$X$2,Partidos!$F:$F,B46)+SUMIFS(Partidos!$O:$O,Partidos!$C:$C,Partidos!$X$2,Partidos!$G:$G,B46))</f>
        <v/>
      </c>
      <c r="L46" s="10" t="str">
        <f>IF(B46="","",SUMIFS(Partidos!$O:$O,Partidos!$C:$C,Partidos!$X$2,Partidos!$D:$D,B46)+SUMIFS(Partidos!$O:$O,Partidos!$C:$C,Partidos!$X$2,Partidos!$E:$E,B46)+SUMIFS(Partidos!$N:$N,Partidos!$C:$C,Partidos!$X$2,Partidos!$F:$F,B46)+SUMIFS(Partidos!$N:$N,Partidos!$C:$C,Partidos!$X$2,Partidos!$G:$G,B46))</f>
        <v/>
      </c>
      <c r="M46" s="10" t="str">
        <f t="shared" si="11"/>
        <v/>
      </c>
    </row>
    <row r="47" spans="1:13" x14ac:dyDescent="0.3">
      <c r="A47" s="2" t="str">
        <f t="shared" si="8"/>
        <v/>
      </c>
      <c r="B47" s="6" t="str">
        <f>IF(Jugadores!B47="","",Jugadores!B47)</f>
        <v/>
      </c>
      <c r="C47" s="2" t="str">
        <f>IF(B47="","",COUNTIFS(Partidos!$C:$C,Partidos!$X$2,Partidos!$D:$D,B47)+COUNTIFS(Partidos!$C:$C,Partidos!$X$2,Partidos!$E:$E,B47)+COUNTIFS(Partidos!$C:$C,Partidos!$X$2,Partidos!$F:$F,B47)+COUNTIFS(Partidos!$C:$C,Partidos!$X$2,Partidos!$G:$G,B47))</f>
        <v/>
      </c>
      <c r="D47" s="2" t="str">
        <f>IF(B47="","",COUNTIFS(Partidos!$C:$C,Partidos!$X$2,Partidos!$P:$P,"A",Partidos!$D:$D,B47)+COUNTIFS(Partidos!$C:$C,Partidos!$X$2,Partidos!$P:$P,"A",Partidos!$E:$E,B47)+COUNTIFS(Partidos!$C:$C,Partidos!$X$2,Partidos!$P:$P,"B",Partidos!$F:$F,B47)+COUNTIFS(Partidos!$C:$C,Partidos!$X$2,Partidos!$P:$P,"B",Partidos!$G:$G,B47))</f>
        <v/>
      </c>
      <c r="E47" s="2" t="str">
        <f t="shared" si="9"/>
        <v/>
      </c>
      <c r="F47" s="2" t="str">
        <f>IF(B47="","",SUMIFS(Partidos!$Q:$Q,Partidos!$C:$C,Partidos!$X$2,Partidos!$D:$D,B47)+SUMIFS(Partidos!$Q:$Q,Partidos!$C:$C,Partidos!$X$2,Partidos!$E:$E,B47)+SUMIFS(Partidos!$R:$R,Partidos!$C:$C,Partidos!$X$2,Partidos!$F:$F,B47)+SUMIFS(Partidos!$R:$R,Partidos!$C:$C,Partidos!$X$2,Partidos!$G:$G,B47))</f>
        <v/>
      </c>
      <c r="G47" s="2" t="str">
        <f>IF(B47="","",SUMIFS(Partidos!$R:$R,Partidos!$C:$C,Partidos!$X$2,Partidos!$D:$D,B47)+SUMIFS(Partidos!$R:$R,Partidos!$C:$C,Partidos!$X$2,Partidos!$E:$E,B47)+SUMIFS(Partidos!$Q:$Q,Partidos!$C:$C,Partidos!$X$2,Partidos!$F:$F,B47)+SUMIFS(Partidos!$Q:$Q,Partidos!$C:$C,Partidos!$X$2,Partidos!$G:$G,B47))</f>
        <v/>
      </c>
      <c r="H47" s="2" t="str">
        <f t="shared" si="10"/>
        <v/>
      </c>
      <c r="I47" s="10" t="str">
        <f>IF(B47="","",SUMIFS(Partidos!$T:$T,Partidos!$C:$C,Partidos!$X$2,Partidos!$D:$D,B47)+SUMIFS(Partidos!$T:$T,Partidos!$C:$C,Partidos!$X$2,Partidos!$E:$E,B47)+SUMIFS(Partidos!$U:$U,Partidos!$C:$C,Partidos!$X$2,Partidos!$F:$F,B47)+SUMIFS(Partidos!$U:$U,Partidos!$C:$C,Partidos!$X$2,Partidos!$G:$G,B47))</f>
        <v/>
      </c>
      <c r="J47" s="10" t="str">
        <f>IF(B47="","",D47*Partidos!$X$3 + E47*Partidos!$X$4 + I47)</f>
        <v/>
      </c>
      <c r="K47" s="10" t="str">
        <f>IF(B47="","",SUMIFS(Partidos!$N:$N,Partidos!$C:$C,Partidos!$X$2,Partidos!$D:$D,B47)+SUMIFS(Partidos!$N:$N,Partidos!$C:$C,Partidos!$X$2,Partidos!$E:$E,B47)+SUMIFS(Partidos!$O:$O,Partidos!$C:$C,Partidos!$X$2,Partidos!$F:$F,B47)+SUMIFS(Partidos!$O:$O,Partidos!$C:$C,Partidos!$X$2,Partidos!$G:$G,B47))</f>
        <v/>
      </c>
      <c r="L47" s="10" t="str">
        <f>IF(B47="","",SUMIFS(Partidos!$O:$O,Partidos!$C:$C,Partidos!$X$2,Partidos!$D:$D,B47)+SUMIFS(Partidos!$O:$O,Partidos!$C:$C,Partidos!$X$2,Partidos!$E:$E,B47)+SUMIFS(Partidos!$N:$N,Partidos!$C:$C,Partidos!$X$2,Partidos!$F:$F,B47)+SUMIFS(Partidos!$N:$N,Partidos!$C:$C,Partidos!$X$2,Partidos!$G:$G,B47))</f>
        <v/>
      </c>
      <c r="M47" s="10" t="str">
        <f t="shared" si="11"/>
        <v/>
      </c>
    </row>
    <row r="48" spans="1:13" x14ac:dyDescent="0.3">
      <c r="A48" s="2" t="str">
        <f t="shared" si="8"/>
        <v/>
      </c>
      <c r="B48" s="6" t="str">
        <f>IF(Jugadores!B48="","",Jugadores!B48)</f>
        <v/>
      </c>
      <c r="C48" s="2" t="str">
        <f>IF(B48="","",COUNTIFS(Partidos!$C:$C,Partidos!$X$2,Partidos!$D:$D,B48)+COUNTIFS(Partidos!$C:$C,Partidos!$X$2,Partidos!$E:$E,B48)+COUNTIFS(Partidos!$C:$C,Partidos!$X$2,Partidos!$F:$F,B48)+COUNTIFS(Partidos!$C:$C,Partidos!$X$2,Partidos!$G:$G,B48))</f>
        <v/>
      </c>
      <c r="D48" s="2" t="str">
        <f>IF(B48="","",COUNTIFS(Partidos!$C:$C,Partidos!$X$2,Partidos!$P:$P,"A",Partidos!$D:$D,B48)+COUNTIFS(Partidos!$C:$C,Partidos!$X$2,Partidos!$P:$P,"A",Partidos!$E:$E,B48)+COUNTIFS(Partidos!$C:$C,Partidos!$X$2,Partidos!$P:$P,"B",Partidos!$F:$F,B48)+COUNTIFS(Partidos!$C:$C,Partidos!$X$2,Partidos!$P:$P,"B",Partidos!$G:$G,B48))</f>
        <v/>
      </c>
      <c r="E48" s="2" t="str">
        <f t="shared" si="9"/>
        <v/>
      </c>
      <c r="F48" s="2" t="str">
        <f>IF(B48="","",SUMIFS(Partidos!$Q:$Q,Partidos!$C:$C,Partidos!$X$2,Partidos!$D:$D,B48)+SUMIFS(Partidos!$Q:$Q,Partidos!$C:$C,Partidos!$X$2,Partidos!$E:$E,B48)+SUMIFS(Partidos!$R:$R,Partidos!$C:$C,Partidos!$X$2,Partidos!$F:$F,B48)+SUMIFS(Partidos!$R:$R,Partidos!$C:$C,Partidos!$X$2,Partidos!$G:$G,B48))</f>
        <v/>
      </c>
      <c r="G48" s="2" t="str">
        <f>IF(B48="","",SUMIFS(Partidos!$R:$R,Partidos!$C:$C,Partidos!$X$2,Partidos!$D:$D,B48)+SUMIFS(Partidos!$R:$R,Partidos!$C:$C,Partidos!$X$2,Partidos!$E:$E,B48)+SUMIFS(Partidos!$Q:$Q,Partidos!$C:$C,Partidos!$X$2,Partidos!$F:$F,B48)+SUMIFS(Partidos!$Q:$Q,Partidos!$C:$C,Partidos!$X$2,Partidos!$G:$G,B48))</f>
        <v/>
      </c>
      <c r="H48" s="2" t="str">
        <f t="shared" si="10"/>
        <v/>
      </c>
      <c r="I48" s="10" t="str">
        <f>IF(B48="","",SUMIFS(Partidos!$T:$T,Partidos!$C:$C,Partidos!$X$2,Partidos!$D:$D,B48)+SUMIFS(Partidos!$T:$T,Partidos!$C:$C,Partidos!$X$2,Partidos!$E:$E,B48)+SUMIFS(Partidos!$U:$U,Partidos!$C:$C,Partidos!$X$2,Partidos!$F:$F,B48)+SUMIFS(Partidos!$U:$U,Partidos!$C:$C,Partidos!$X$2,Partidos!$G:$G,B48))</f>
        <v/>
      </c>
      <c r="J48" s="10" t="str">
        <f>IF(B48="","",D48*Partidos!$X$3 + E48*Partidos!$X$4 + I48)</f>
        <v/>
      </c>
      <c r="K48" s="10" t="str">
        <f>IF(B48="","",SUMIFS(Partidos!$N:$N,Partidos!$C:$C,Partidos!$X$2,Partidos!$D:$D,B48)+SUMIFS(Partidos!$N:$N,Partidos!$C:$C,Partidos!$X$2,Partidos!$E:$E,B48)+SUMIFS(Partidos!$O:$O,Partidos!$C:$C,Partidos!$X$2,Partidos!$F:$F,B48)+SUMIFS(Partidos!$O:$O,Partidos!$C:$C,Partidos!$X$2,Partidos!$G:$G,B48))</f>
        <v/>
      </c>
      <c r="L48" s="10" t="str">
        <f>IF(B48="","",SUMIFS(Partidos!$O:$O,Partidos!$C:$C,Partidos!$X$2,Partidos!$D:$D,B48)+SUMIFS(Partidos!$O:$O,Partidos!$C:$C,Partidos!$X$2,Partidos!$E:$E,B48)+SUMIFS(Partidos!$N:$N,Partidos!$C:$C,Partidos!$X$2,Partidos!$F:$F,B48)+SUMIFS(Partidos!$N:$N,Partidos!$C:$C,Partidos!$X$2,Partidos!$G:$G,B48))</f>
        <v/>
      </c>
      <c r="M48" s="10" t="str">
        <f t="shared" si="11"/>
        <v/>
      </c>
    </row>
    <row r="49" spans="1:13" x14ac:dyDescent="0.3">
      <c r="A49" s="2" t="str">
        <f t="shared" si="8"/>
        <v/>
      </c>
      <c r="B49" s="6" t="str">
        <f>IF(Jugadores!B49="","",Jugadores!B49)</f>
        <v/>
      </c>
      <c r="C49" s="2" t="str">
        <f>IF(B49="","",COUNTIFS(Partidos!$C:$C,Partidos!$X$2,Partidos!$D:$D,B49)+COUNTIFS(Partidos!$C:$C,Partidos!$X$2,Partidos!$E:$E,B49)+COUNTIFS(Partidos!$C:$C,Partidos!$X$2,Partidos!$F:$F,B49)+COUNTIFS(Partidos!$C:$C,Partidos!$X$2,Partidos!$G:$G,B49))</f>
        <v/>
      </c>
      <c r="D49" s="2" t="str">
        <f>IF(B49="","",COUNTIFS(Partidos!$C:$C,Partidos!$X$2,Partidos!$P:$P,"A",Partidos!$D:$D,B49)+COUNTIFS(Partidos!$C:$C,Partidos!$X$2,Partidos!$P:$P,"A",Partidos!$E:$E,B49)+COUNTIFS(Partidos!$C:$C,Partidos!$X$2,Partidos!$P:$P,"B",Partidos!$F:$F,B49)+COUNTIFS(Partidos!$C:$C,Partidos!$X$2,Partidos!$P:$P,"B",Partidos!$G:$G,B49))</f>
        <v/>
      </c>
      <c r="E49" s="2" t="str">
        <f t="shared" si="9"/>
        <v/>
      </c>
      <c r="F49" s="2" t="str">
        <f>IF(B49="","",SUMIFS(Partidos!$Q:$Q,Partidos!$C:$C,Partidos!$X$2,Partidos!$D:$D,B49)+SUMIFS(Partidos!$Q:$Q,Partidos!$C:$C,Partidos!$X$2,Partidos!$E:$E,B49)+SUMIFS(Partidos!$R:$R,Partidos!$C:$C,Partidos!$X$2,Partidos!$F:$F,B49)+SUMIFS(Partidos!$R:$R,Partidos!$C:$C,Partidos!$X$2,Partidos!$G:$G,B49))</f>
        <v/>
      </c>
      <c r="G49" s="2" t="str">
        <f>IF(B49="","",SUMIFS(Partidos!$R:$R,Partidos!$C:$C,Partidos!$X$2,Partidos!$D:$D,B49)+SUMIFS(Partidos!$R:$R,Partidos!$C:$C,Partidos!$X$2,Partidos!$E:$E,B49)+SUMIFS(Partidos!$Q:$Q,Partidos!$C:$C,Partidos!$X$2,Partidos!$F:$F,B49)+SUMIFS(Partidos!$Q:$Q,Partidos!$C:$C,Partidos!$X$2,Partidos!$G:$G,B49))</f>
        <v/>
      </c>
      <c r="H49" s="2" t="str">
        <f t="shared" si="10"/>
        <v/>
      </c>
      <c r="I49" s="10" t="str">
        <f>IF(B49="","",SUMIFS(Partidos!$T:$T,Partidos!$C:$C,Partidos!$X$2,Partidos!$D:$D,B49)+SUMIFS(Partidos!$T:$T,Partidos!$C:$C,Partidos!$X$2,Partidos!$E:$E,B49)+SUMIFS(Partidos!$U:$U,Partidos!$C:$C,Partidos!$X$2,Partidos!$F:$F,B49)+SUMIFS(Partidos!$U:$U,Partidos!$C:$C,Partidos!$X$2,Partidos!$G:$G,B49))</f>
        <v/>
      </c>
      <c r="J49" s="10" t="str">
        <f>IF(B49="","",D49*Partidos!$X$3 + E49*Partidos!$X$4 + I49)</f>
        <v/>
      </c>
      <c r="K49" s="10" t="str">
        <f>IF(B49="","",SUMIFS(Partidos!$N:$N,Partidos!$C:$C,Partidos!$X$2,Partidos!$D:$D,B49)+SUMIFS(Partidos!$N:$N,Partidos!$C:$C,Partidos!$X$2,Partidos!$E:$E,B49)+SUMIFS(Partidos!$O:$O,Partidos!$C:$C,Partidos!$X$2,Partidos!$F:$F,B49)+SUMIFS(Partidos!$O:$O,Partidos!$C:$C,Partidos!$X$2,Partidos!$G:$G,B49))</f>
        <v/>
      </c>
      <c r="L49" s="10" t="str">
        <f>IF(B49="","",SUMIFS(Partidos!$O:$O,Partidos!$C:$C,Partidos!$X$2,Partidos!$D:$D,B49)+SUMIFS(Partidos!$O:$O,Partidos!$C:$C,Partidos!$X$2,Partidos!$E:$E,B49)+SUMIFS(Partidos!$N:$N,Partidos!$C:$C,Partidos!$X$2,Partidos!$F:$F,B49)+SUMIFS(Partidos!$N:$N,Partidos!$C:$C,Partidos!$X$2,Partidos!$G:$G,B49))</f>
        <v/>
      </c>
      <c r="M49" s="10" t="str">
        <f t="shared" si="11"/>
        <v/>
      </c>
    </row>
    <row r="50" spans="1:13" x14ac:dyDescent="0.3">
      <c r="A50" s="2" t="str">
        <f t="shared" si="8"/>
        <v/>
      </c>
      <c r="B50" s="6" t="str">
        <f>IF(Jugadores!B50="","",Jugadores!B50)</f>
        <v/>
      </c>
      <c r="C50" s="2" t="str">
        <f>IF(B50="","",COUNTIFS(Partidos!$C:$C,Partidos!$X$2,Partidos!$D:$D,B50)+COUNTIFS(Partidos!$C:$C,Partidos!$X$2,Partidos!$E:$E,B50)+COUNTIFS(Partidos!$C:$C,Partidos!$X$2,Partidos!$F:$F,B50)+COUNTIFS(Partidos!$C:$C,Partidos!$X$2,Partidos!$G:$G,B50))</f>
        <v/>
      </c>
      <c r="D50" s="2" t="str">
        <f>IF(B50="","",COUNTIFS(Partidos!$C:$C,Partidos!$X$2,Partidos!$P:$P,"A",Partidos!$D:$D,B50)+COUNTIFS(Partidos!$C:$C,Partidos!$X$2,Partidos!$P:$P,"A",Partidos!$E:$E,B50)+COUNTIFS(Partidos!$C:$C,Partidos!$X$2,Partidos!$P:$P,"B",Partidos!$F:$F,B50)+COUNTIFS(Partidos!$C:$C,Partidos!$X$2,Partidos!$P:$P,"B",Partidos!$G:$G,B50))</f>
        <v/>
      </c>
      <c r="E50" s="2" t="str">
        <f t="shared" si="9"/>
        <v/>
      </c>
      <c r="F50" s="2" t="str">
        <f>IF(B50="","",SUMIFS(Partidos!$Q:$Q,Partidos!$C:$C,Partidos!$X$2,Partidos!$D:$D,B50)+SUMIFS(Partidos!$Q:$Q,Partidos!$C:$C,Partidos!$X$2,Partidos!$E:$E,B50)+SUMIFS(Partidos!$R:$R,Partidos!$C:$C,Partidos!$X$2,Partidos!$F:$F,B50)+SUMIFS(Partidos!$R:$R,Partidos!$C:$C,Partidos!$X$2,Partidos!$G:$G,B50))</f>
        <v/>
      </c>
      <c r="G50" s="2" t="str">
        <f>IF(B50="","",SUMIFS(Partidos!$R:$R,Partidos!$C:$C,Partidos!$X$2,Partidos!$D:$D,B50)+SUMIFS(Partidos!$R:$R,Partidos!$C:$C,Partidos!$X$2,Partidos!$E:$E,B50)+SUMIFS(Partidos!$Q:$Q,Partidos!$C:$C,Partidos!$X$2,Partidos!$F:$F,B50)+SUMIFS(Partidos!$Q:$Q,Partidos!$C:$C,Partidos!$X$2,Partidos!$G:$G,B50))</f>
        <v/>
      </c>
      <c r="H50" s="2" t="str">
        <f t="shared" si="10"/>
        <v/>
      </c>
      <c r="I50" s="10" t="str">
        <f>IF(B50="","",SUMIFS(Partidos!$T:$T,Partidos!$C:$C,Partidos!$X$2,Partidos!$D:$D,B50)+SUMIFS(Partidos!$T:$T,Partidos!$C:$C,Partidos!$X$2,Partidos!$E:$E,B50)+SUMIFS(Partidos!$U:$U,Partidos!$C:$C,Partidos!$X$2,Partidos!$F:$F,B50)+SUMIFS(Partidos!$U:$U,Partidos!$C:$C,Partidos!$X$2,Partidos!$G:$G,B50))</f>
        <v/>
      </c>
      <c r="J50" s="10" t="str">
        <f>IF(B50="","",D50*Partidos!$X$3 + E50*Partidos!$X$4 + I50)</f>
        <v/>
      </c>
      <c r="K50" s="10" t="str">
        <f>IF(B50="","",SUMIFS(Partidos!$N:$N,Partidos!$C:$C,Partidos!$X$2,Partidos!$D:$D,B50)+SUMIFS(Partidos!$N:$N,Partidos!$C:$C,Partidos!$X$2,Partidos!$E:$E,B50)+SUMIFS(Partidos!$O:$O,Partidos!$C:$C,Partidos!$X$2,Partidos!$F:$F,B50)+SUMIFS(Partidos!$O:$O,Partidos!$C:$C,Partidos!$X$2,Partidos!$G:$G,B50))</f>
        <v/>
      </c>
      <c r="L50" s="10" t="str">
        <f>IF(B50="","",SUMIFS(Partidos!$O:$O,Partidos!$C:$C,Partidos!$X$2,Partidos!$D:$D,B50)+SUMIFS(Partidos!$O:$O,Partidos!$C:$C,Partidos!$X$2,Partidos!$E:$E,B50)+SUMIFS(Partidos!$N:$N,Partidos!$C:$C,Partidos!$X$2,Partidos!$F:$F,B50)+SUMIFS(Partidos!$N:$N,Partidos!$C:$C,Partidos!$X$2,Partidos!$G:$G,B50))</f>
        <v/>
      </c>
      <c r="M50" s="10" t="str">
        <f t="shared" si="11"/>
        <v/>
      </c>
    </row>
    <row r="51" spans="1:13" x14ac:dyDescent="0.3">
      <c r="A51" s="2" t="str">
        <f t="shared" si="8"/>
        <v/>
      </c>
      <c r="B51" s="6" t="str">
        <f>IF(Jugadores!B51="","",Jugadores!B51)</f>
        <v/>
      </c>
      <c r="C51" s="2" t="str">
        <f>IF(B51="","",COUNTIFS(Partidos!$C:$C,Partidos!$X$2,Partidos!$D:$D,B51)+COUNTIFS(Partidos!$C:$C,Partidos!$X$2,Partidos!$E:$E,B51)+COUNTIFS(Partidos!$C:$C,Partidos!$X$2,Partidos!$F:$F,B51)+COUNTIFS(Partidos!$C:$C,Partidos!$X$2,Partidos!$G:$G,B51))</f>
        <v/>
      </c>
      <c r="D51" s="2" t="str">
        <f>IF(B51="","",COUNTIFS(Partidos!$C:$C,Partidos!$X$2,Partidos!$P:$P,"A",Partidos!$D:$D,B51)+COUNTIFS(Partidos!$C:$C,Partidos!$X$2,Partidos!$P:$P,"A",Partidos!$E:$E,B51)+COUNTIFS(Partidos!$C:$C,Partidos!$X$2,Partidos!$P:$P,"B",Partidos!$F:$F,B51)+COUNTIFS(Partidos!$C:$C,Partidos!$X$2,Partidos!$P:$P,"B",Partidos!$G:$G,B51))</f>
        <v/>
      </c>
      <c r="E51" s="2" t="str">
        <f t="shared" si="9"/>
        <v/>
      </c>
      <c r="F51" s="2" t="str">
        <f>IF(B51="","",SUMIFS(Partidos!$Q:$Q,Partidos!$C:$C,Partidos!$X$2,Partidos!$D:$D,B51)+SUMIFS(Partidos!$Q:$Q,Partidos!$C:$C,Partidos!$X$2,Partidos!$E:$E,B51)+SUMIFS(Partidos!$R:$R,Partidos!$C:$C,Partidos!$X$2,Partidos!$F:$F,B51)+SUMIFS(Partidos!$R:$R,Partidos!$C:$C,Partidos!$X$2,Partidos!$G:$G,B51))</f>
        <v/>
      </c>
      <c r="G51" s="2" t="str">
        <f>IF(B51="","",SUMIFS(Partidos!$R:$R,Partidos!$C:$C,Partidos!$X$2,Partidos!$D:$D,B51)+SUMIFS(Partidos!$R:$R,Partidos!$C:$C,Partidos!$X$2,Partidos!$E:$E,B51)+SUMIFS(Partidos!$Q:$Q,Partidos!$C:$C,Partidos!$X$2,Partidos!$F:$F,B51)+SUMIFS(Partidos!$Q:$Q,Partidos!$C:$C,Partidos!$X$2,Partidos!$G:$G,B51))</f>
        <v/>
      </c>
      <c r="H51" s="2" t="str">
        <f t="shared" si="10"/>
        <v/>
      </c>
      <c r="I51" s="10" t="str">
        <f>IF(B51="","",SUMIFS(Partidos!$T:$T,Partidos!$C:$C,Partidos!$X$2,Partidos!$D:$D,B51)+SUMIFS(Partidos!$T:$T,Partidos!$C:$C,Partidos!$X$2,Partidos!$E:$E,B51)+SUMIFS(Partidos!$U:$U,Partidos!$C:$C,Partidos!$X$2,Partidos!$F:$F,B51)+SUMIFS(Partidos!$U:$U,Partidos!$C:$C,Partidos!$X$2,Partidos!$G:$G,B51))</f>
        <v/>
      </c>
      <c r="J51" s="10" t="str">
        <f>IF(B51="","",D51*Partidos!$X$3 + E51*Partidos!$X$4 + I51)</f>
        <v/>
      </c>
      <c r="K51" s="10" t="str">
        <f>IF(B51="","",SUMIFS(Partidos!$N:$N,Partidos!$C:$C,Partidos!$X$2,Partidos!$D:$D,B51)+SUMIFS(Partidos!$N:$N,Partidos!$C:$C,Partidos!$X$2,Partidos!$E:$E,B51)+SUMIFS(Partidos!$O:$O,Partidos!$C:$C,Partidos!$X$2,Partidos!$F:$F,B51)+SUMIFS(Partidos!$O:$O,Partidos!$C:$C,Partidos!$X$2,Partidos!$G:$G,B51))</f>
        <v/>
      </c>
      <c r="L51" s="10" t="str">
        <f>IF(B51="","",SUMIFS(Partidos!$O:$O,Partidos!$C:$C,Partidos!$X$2,Partidos!$D:$D,B51)+SUMIFS(Partidos!$O:$O,Partidos!$C:$C,Partidos!$X$2,Partidos!$E:$E,B51)+SUMIFS(Partidos!$N:$N,Partidos!$C:$C,Partidos!$X$2,Partidos!$F:$F,B51)+SUMIFS(Partidos!$N:$N,Partidos!$C:$C,Partidos!$X$2,Partidos!$G:$G,B51))</f>
        <v/>
      </c>
      <c r="M51" s="10" t="str">
        <f t="shared" si="11"/>
        <v/>
      </c>
    </row>
    <row r="52" spans="1:13" x14ac:dyDescent="0.3">
      <c r="A52" s="2" t="str">
        <f t="shared" si="8"/>
        <v/>
      </c>
      <c r="B52" s="6" t="str">
        <f>IF(Jugadores!B52="","",Jugadores!B52)</f>
        <v/>
      </c>
      <c r="C52" s="2" t="str">
        <f>IF(B52="","",COUNTIFS(Partidos!$C:$C,Partidos!$X$2,Partidos!$D:$D,B52)+COUNTIFS(Partidos!$C:$C,Partidos!$X$2,Partidos!$E:$E,B52)+COUNTIFS(Partidos!$C:$C,Partidos!$X$2,Partidos!$F:$F,B52)+COUNTIFS(Partidos!$C:$C,Partidos!$X$2,Partidos!$G:$G,B52))</f>
        <v/>
      </c>
      <c r="D52" s="2" t="str">
        <f>IF(B52="","",COUNTIFS(Partidos!$C:$C,Partidos!$X$2,Partidos!$P:$P,"A",Partidos!$D:$D,B52)+COUNTIFS(Partidos!$C:$C,Partidos!$X$2,Partidos!$P:$P,"A",Partidos!$E:$E,B52)+COUNTIFS(Partidos!$C:$C,Partidos!$X$2,Partidos!$P:$P,"B",Partidos!$F:$F,B52)+COUNTIFS(Partidos!$C:$C,Partidos!$X$2,Partidos!$P:$P,"B",Partidos!$G:$G,B52))</f>
        <v/>
      </c>
      <c r="E52" s="2" t="str">
        <f t="shared" si="9"/>
        <v/>
      </c>
      <c r="F52" s="2" t="str">
        <f>IF(B52="","",SUMIFS(Partidos!$Q:$Q,Partidos!$C:$C,Partidos!$X$2,Partidos!$D:$D,B52)+SUMIFS(Partidos!$Q:$Q,Partidos!$C:$C,Partidos!$X$2,Partidos!$E:$E,B52)+SUMIFS(Partidos!$R:$R,Partidos!$C:$C,Partidos!$X$2,Partidos!$F:$F,B52)+SUMIFS(Partidos!$R:$R,Partidos!$C:$C,Partidos!$X$2,Partidos!$G:$G,B52))</f>
        <v/>
      </c>
      <c r="G52" s="2" t="str">
        <f>IF(B52="","",SUMIFS(Partidos!$R:$R,Partidos!$C:$C,Partidos!$X$2,Partidos!$D:$D,B52)+SUMIFS(Partidos!$R:$R,Partidos!$C:$C,Partidos!$X$2,Partidos!$E:$E,B52)+SUMIFS(Partidos!$Q:$Q,Partidos!$C:$C,Partidos!$X$2,Partidos!$F:$F,B52)+SUMIFS(Partidos!$Q:$Q,Partidos!$C:$C,Partidos!$X$2,Partidos!$G:$G,B52))</f>
        <v/>
      </c>
      <c r="H52" s="2" t="str">
        <f t="shared" si="10"/>
        <v/>
      </c>
      <c r="I52" s="10" t="str">
        <f>IF(B52="","",SUMIFS(Partidos!$T:$T,Partidos!$C:$C,Partidos!$X$2,Partidos!$D:$D,B52)+SUMIFS(Partidos!$T:$T,Partidos!$C:$C,Partidos!$X$2,Partidos!$E:$E,B52)+SUMIFS(Partidos!$U:$U,Partidos!$C:$C,Partidos!$X$2,Partidos!$F:$F,B52)+SUMIFS(Partidos!$U:$U,Partidos!$C:$C,Partidos!$X$2,Partidos!$G:$G,B52))</f>
        <v/>
      </c>
      <c r="J52" s="10" t="str">
        <f>IF(B52="","",D52*Partidos!$X$3 + E52*Partidos!$X$4 + I52)</f>
        <v/>
      </c>
      <c r="K52" s="10" t="str">
        <f>IF(B52="","",SUMIFS(Partidos!$N:$N,Partidos!$C:$C,Partidos!$X$2,Partidos!$D:$D,B52)+SUMIFS(Partidos!$N:$N,Partidos!$C:$C,Partidos!$X$2,Partidos!$E:$E,B52)+SUMIFS(Partidos!$O:$O,Partidos!$C:$C,Partidos!$X$2,Partidos!$F:$F,B52)+SUMIFS(Partidos!$O:$O,Partidos!$C:$C,Partidos!$X$2,Partidos!$G:$G,B52))</f>
        <v/>
      </c>
      <c r="L52" s="10" t="str">
        <f>IF(B52="","",SUMIFS(Partidos!$O:$O,Partidos!$C:$C,Partidos!$X$2,Partidos!$D:$D,B52)+SUMIFS(Partidos!$O:$O,Partidos!$C:$C,Partidos!$X$2,Partidos!$E:$E,B52)+SUMIFS(Partidos!$N:$N,Partidos!$C:$C,Partidos!$X$2,Partidos!$F:$F,B52)+SUMIFS(Partidos!$N:$N,Partidos!$C:$C,Partidos!$X$2,Partidos!$G:$G,B52))</f>
        <v/>
      </c>
      <c r="M52" s="10" t="str">
        <f t="shared" si="11"/>
        <v/>
      </c>
    </row>
    <row r="53" spans="1:13" x14ac:dyDescent="0.3">
      <c r="A53" s="2" t="str">
        <f t="shared" si="8"/>
        <v/>
      </c>
      <c r="B53" s="6" t="str">
        <f>IF(Jugadores!B53="","",Jugadores!B53)</f>
        <v/>
      </c>
      <c r="C53" s="2" t="str">
        <f>IF(B53="","",COUNTIFS(Partidos!$C:$C,Partidos!$X$2,Partidos!$D:$D,B53)+COUNTIFS(Partidos!$C:$C,Partidos!$X$2,Partidos!$E:$E,B53)+COUNTIFS(Partidos!$C:$C,Partidos!$X$2,Partidos!$F:$F,B53)+COUNTIFS(Partidos!$C:$C,Partidos!$X$2,Partidos!$G:$G,B53))</f>
        <v/>
      </c>
      <c r="D53" s="2" t="str">
        <f>IF(B53="","",COUNTIFS(Partidos!$C:$C,Partidos!$X$2,Partidos!$P:$P,"A",Partidos!$D:$D,B53)+COUNTIFS(Partidos!$C:$C,Partidos!$X$2,Partidos!$P:$P,"A",Partidos!$E:$E,B53)+COUNTIFS(Partidos!$C:$C,Partidos!$X$2,Partidos!$P:$P,"B",Partidos!$F:$F,B53)+COUNTIFS(Partidos!$C:$C,Partidos!$X$2,Partidos!$P:$P,"B",Partidos!$G:$G,B53))</f>
        <v/>
      </c>
      <c r="E53" s="2" t="str">
        <f t="shared" si="9"/>
        <v/>
      </c>
      <c r="F53" s="2" t="str">
        <f>IF(B53="","",SUMIFS(Partidos!$Q:$Q,Partidos!$C:$C,Partidos!$X$2,Partidos!$D:$D,B53)+SUMIFS(Partidos!$Q:$Q,Partidos!$C:$C,Partidos!$X$2,Partidos!$E:$E,B53)+SUMIFS(Partidos!$R:$R,Partidos!$C:$C,Partidos!$X$2,Partidos!$F:$F,B53)+SUMIFS(Partidos!$R:$R,Partidos!$C:$C,Partidos!$X$2,Partidos!$G:$G,B53))</f>
        <v/>
      </c>
      <c r="G53" s="2" t="str">
        <f>IF(B53="","",SUMIFS(Partidos!$R:$R,Partidos!$C:$C,Partidos!$X$2,Partidos!$D:$D,B53)+SUMIFS(Partidos!$R:$R,Partidos!$C:$C,Partidos!$X$2,Partidos!$E:$E,B53)+SUMIFS(Partidos!$Q:$Q,Partidos!$C:$C,Partidos!$X$2,Partidos!$F:$F,B53)+SUMIFS(Partidos!$Q:$Q,Partidos!$C:$C,Partidos!$X$2,Partidos!$G:$G,B53))</f>
        <v/>
      </c>
      <c r="H53" s="2" t="str">
        <f t="shared" si="10"/>
        <v/>
      </c>
      <c r="I53" s="10" t="str">
        <f>IF(B53="","",SUMIFS(Partidos!$T:$T,Partidos!$C:$C,Partidos!$X$2,Partidos!$D:$D,B53)+SUMIFS(Partidos!$T:$T,Partidos!$C:$C,Partidos!$X$2,Partidos!$E:$E,B53)+SUMIFS(Partidos!$U:$U,Partidos!$C:$C,Partidos!$X$2,Partidos!$F:$F,B53)+SUMIFS(Partidos!$U:$U,Partidos!$C:$C,Partidos!$X$2,Partidos!$G:$G,B53))</f>
        <v/>
      </c>
      <c r="J53" s="10" t="str">
        <f>IF(B53="","",D53*Partidos!$X$3 + E53*Partidos!$X$4 + I53)</f>
        <v/>
      </c>
      <c r="K53" s="10" t="str">
        <f>IF(B53="","",SUMIFS(Partidos!$N:$N,Partidos!$C:$C,Partidos!$X$2,Partidos!$D:$D,B53)+SUMIFS(Partidos!$N:$N,Partidos!$C:$C,Partidos!$X$2,Partidos!$E:$E,B53)+SUMIFS(Partidos!$O:$O,Partidos!$C:$C,Partidos!$X$2,Partidos!$F:$F,B53)+SUMIFS(Partidos!$O:$O,Partidos!$C:$C,Partidos!$X$2,Partidos!$G:$G,B53))</f>
        <v/>
      </c>
      <c r="L53" s="10" t="str">
        <f>IF(B53="","",SUMIFS(Partidos!$O:$O,Partidos!$C:$C,Partidos!$X$2,Partidos!$D:$D,B53)+SUMIFS(Partidos!$O:$O,Partidos!$C:$C,Partidos!$X$2,Partidos!$E:$E,B53)+SUMIFS(Partidos!$N:$N,Partidos!$C:$C,Partidos!$X$2,Partidos!$F:$F,B53)+SUMIFS(Partidos!$N:$N,Partidos!$C:$C,Partidos!$X$2,Partidos!$G:$G,B53))</f>
        <v/>
      </c>
      <c r="M53" s="10" t="str">
        <f t="shared" si="11"/>
        <v/>
      </c>
    </row>
    <row r="54" spans="1:13" x14ac:dyDescent="0.3">
      <c r="A54" s="2" t="str">
        <f t="shared" si="8"/>
        <v/>
      </c>
      <c r="B54" s="6" t="str">
        <f>IF(Jugadores!B54="","",Jugadores!B54)</f>
        <v/>
      </c>
      <c r="C54" s="2" t="str">
        <f>IF(B54="","",COUNTIFS(Partidos!$C:$C,Partidos!$X$2,Partidos!$D:$D,B54)+COUNTIFS(Partidos!$C:$C,Partidos!$X$2,Partidos!$E:$E,B54)+COUNTIFS(Partidos!$C:$C,Partidos!$X$2,Partidos!$F:$F,B54)+COUNTIFS(Partidos!$C:$C,Partidos!$X$2,Partidos!$G:$G,B54))</f>
        <v/>
      </c>
      <c r="D54" s="2" t="str">
        <f>IF(B54="","",COUNTIFS(Partidos!$C:$C,Partidos!$X$2,Partidos!$P:$P,"A",Partidos!$D:$D,B54)+COUNTIFS(Partidos!$C:$C,Partidos!$X$2,Partidos!$P:$P,"A",Partidos!$E:$E,B54)+COUNTIFS(Partidos!$C:$C,Partidos!$X$2,Partidos!$P:$P,"B",Partidos!$F:$F,B54)+COUNTIFS(Partidos!$C:$C,Partidos!$X$2,Partidos!$P:$P,"B",Partidos!$G:$G,B54))</f>
        <v/>
      </c>
      <c r="E54" s="2" t="str">
        <f t="shared" si="9"/>
        <v/>
      </c>
      <c r="F54" s="2" t="str">
        <f>IF(B54="","",SUMIFS(Partidos!$Q:$Q,Partidos!$C:$C,Partidos!$X$2,Partidos!$D:$D,B54)+SUMIFS(Partidos!$Q:$Q,Partidos!$C:$C,Partidos!$X$2,Partidos!$E:$E,B54)+SUMIFS(Partidos!$R:$R,Partidos!$C:$C,Partidos!$X$2,Partidos!$F:$F,B54)+SUMIFS(Partidos!$R:$R,Partidos!$C:$C,Partidos!$X$2,Partidos!$G:$G,B54))</f>
        <v/>
      </c>
      <c r="G54" s="2" t="str">
        <f>IF(B54="","",SUMIFS(Partidos!$R:$R,Partidos!$C:$C,Partidos!$X$2,Partidos!$D:$D,B54)+SUMIFS(Partidos!$R:$R,Partidos!$C:$C,Partidos!$X$2,Partidos!$E:$E,B54)+SUMIFS(Partidos!$Q:$Q,Partidos!$C:$C,Partidos!$X$2,Partidos!$F:$F,B54)+SUMIFS(Partidos!$Q:$Q,Partidos!$C:$C,Partidos!$X$2,Partidos!$G:$G,B54))</f>
        <v/>
      </c>
      <c r="H54" s="2" t="str">
        <f t="shared" si="10"/>
        <v/>
      </c>
      <c r="I54" s="10" t="str">
        <f>IF(B54="","",SUMIFS(Partidos!$T:$T,Partidos!$C:$C,Partidos!$X$2,Partidos!$D:$D,B54)+SUMIFS(Partidos!$T:$T,Partidos!$C:$C,Partidos!$X$2,Partidos!$E:$E,B54)+SUMIFS(Partidos!$U:$U,Partidos!$C:$C,Partidos!$X$2,Partidos!$F:$F,B54)+SUMIFS(Partidos!$U:$U,Partidos!$C:$C,Partidos!$X$2,Partidos!$G:$G,B54))</f>
        <v/>
      </c>
      <c r="J54" s="10" t="str">
        <f>IF(B54="","",D54*Partidos!$X$3 + E54*Partidos!$X$4 + I54)</f>
        <v/>
      </c>
      <c r="K54" s="10" t="str">
        <f>IF(B54="","",SUMIFS(Partidos!$N:$N,Partidos!$C:$C,Partidos!$X$2,Partidos!$D:$D,B54)+SUMIFS(Partidos!$N:$N,Partidos!$C:$C,Partidos!$X$2,Partidos!$E:$E,B54)+SUMIFS(Partidos!$O:$O,Partidos!$C:$C,Partidos!$X$2,Partidos!$F:$F,B54)+SUMIFS(Partidos!$O:$O,Partidos!$C:$C,Partidos!$X$2,Partidos!$G:$G,B54))</f>
        <v/>
      </c>
      <c r="L54" s="10" t="str">
        <f>IF(B54="","",SUMIFS(Partidos!$O:$O,Partidos!$C:$C,Partidos!$X$2,Partidos!$D:$D,B54)+SUMIFS(Partidos!$O:$O,Partidos!$C:$C,Partidos!$X$2,Partidos!$E:$E,B54)+SUMIFS(Partidos!$N:$N,Partidos!$C:$C,Partidos!$X$2,Partidos!$F:$F,B54)+SUMIFS(Partidos!$N:$N,Partidos!$C:$C,Partidos!$X$2,Partidos!$G:$G,B54))</f>
        <v/>
      </c>
      <c r="M54" s="10" t="str">
        <f t="shared" si="11"/>
        <v/>
      </c>
    </row>
    <row r="55" spans="1:13" x14ac:dyDescent="0.3">
      <c r="A55" s="2" t="str">
        <f t="shared" si="8"/>
        <v/>
      </c>
      <c r="B55" s="6" t="str">
        <f>IF(Jugadores!B55="","",Jugadores!B55)</f>
        <v/>
      </c>
      <c r="C55" s="2" t="str">
        <f>IF(B55="","",COUNTIFS(Partidos!$C:$C,Partidos!$X$2,Partidos!$D:$D,B55)+COUNTIFS(Partidos!$C:$C,Partidos!$X$2,Partidos!$E:$E,B55)+COUNTIFS(Partidos!$C:$C,Partidos!$X$2,Partidos!$F:$F,B55)+COUNTIFS(Partidos!$C:$C,Partidos!$X$2,Partidos!$G:$G,B55))</f>
        <v/>
      </c>
      <c r="D55" s="2" t="str">
        <f>IF(B55="","",COUNTIFS(Partidos!$C:$C,Partidos!$X$2,Partidos!$P:$P,"A",Partidos!$D:$D,B55)+COUNTIFS(Partidos!$C:$C,Partidos!$X$2,Partidos!$P:$P,"A",Partidos!$E:$E,B55)+COUNTIFS(Partidos!$C:$C,Partidos!$X$2,Partidos!$P:$P,"B",Partidos!$F:$F,B55)+COUNTIFS(Partidos!$C:$C,Partidos!$X$2,Partidos!$P:$P,"B",Partidos!$G:$G,B55))</f>
        <v/>
      </c>
      <c r="E55" s="2" t="str">
        <f t="shared" si="9"/>
        <v/>
      </c>
      <c r="F55" s="2" t="str">
        <f>IF(B55="","",SUMIFS(Partidos!$Q:$Q,Partidos!$C:$C,Partidos!$X$2,Partidos!$D:$D,B55)+SUMIFS(Partidos!$Q:$Q,Partidos!$C:$C,Partidos!$X$2,Partidos!$E:$E,B55)+SUMIFS(Partidos!$R:$R,Partidos!$C:$C,Partidos!$X$2,Partidos!$F:$F,B55)+SUMIFS(Partidos!$R:$R,Partidos!$C:$C,Partidos!$X$2,Partidos!$G:$G,B55))</f>
        <v/>
      </c>
      <c r="G55" s="2" t="str">
        <f>IF(B55="","",SUMIFS(Partidos!$R:$R,Partidos!$C:$C,Partidos!$X$2,Partidos!$D:$D,B55)+SUMIFS(Partidos!$R:$R,Partidos!$C:$C,Partidos!$X$2,Partidos!$E:$E,B55)+SUMIFS(Partidos!$Q:$Q,Partidos!$C:$C,Partidos!$X$2,Partidos!$F:$F,B55)+SUMIFS(Partidos!$Q:$Q,Partidos!$C:$C,Partidos!$X$2,Partidos!$G:$G,B55))</f>
        <v/>
      </c>
      <c r="H55" s="2" t="str">
        <f t="shared" si="10"/>
        <v/>
      </c>
      <c r="I55" s="10" t="str">
        <f>IF(B55="","",SUMIFS(Partidos!$T:$T,Partidos!$C:$C,Partidos!$X$2,Partidos!$D:$D,B55)+SUMIFS(Partidos!$T:$T,Partidos!$C:$C,Partidos!$X$2,Partidos!$E:$E,B55)+SUMIFS(Partidos!$U:$U,Partidos!$C:$C,Partidos!$X$2,Partidos!$F:$F,B55)+SUMIFS(Partidos!$U:$U,Partidos!$C:$C,Partidos!$X$2,Partidos!$G:$G,B55))</f>
        <v/>
      </c>
      <c r="J55" s="10" t="str">
        <f>IF(B55="","",D55*Partidos!$X$3 + E55*Partidos!$X$4 + I55)</f>
        <v/>
      </c>
      <c r="K55" s="10" t="str">
        <f>IF(B55="","",SUMIFS(Partidos!$N:$N,Partidos!$C:$C,Partidos!$X$2,Partidos!$D:$D,B55)+SUMIFS(Partidos!$N:$N,Partidos!$C:$C,Partidos!$X$2,Partidos!$E:$E,B55)+SUMIFS(Partidos!$O:$O,Partidos!$C:$C,Partidos!$X$2,Partidos!$F:$F,B55)+SUMIFS(Partidos!$O:$O,Partidos!$C:$C,Partidos!$X$2,Partidos!$G:$G,B55))</f>
        <v/>
      </c>
      <c r="L55" s="10" t="str">
        <f>IF(B55="","",SUMIFS(Partidos!$O:$O,Partidos!$C:$C,Partidos!$X$2,Partidos!$D:$D,B55)+SUMIFS(Partidos!$O:$O,Partidos!$C:$C,Partidos!$X$2,Partidos!$E:$E,B55)+SUMIFS(Partidos!$N:$N,Partidos!$C:$C,Partidos!$X$2,Partidos!$F:$F,B55)+SUMIFS(Partidos!$N:$N,Partidos!$C:$C,Partidos!$X$2,Partidos!$G:$G,B55))</f>
        <v/>
      </c>
      <c r="M55" s="10" t="str">
        <f t="shared" si="11"/>
        <v/>
      </c>
    </row>
    <row r="56" spans="1:13" x14ac:dyDescent="0.3">
      <c r="A56" s="2" t="str">
        <f t="shared" si="8"/>
        <v/>
      </c>
      <c r="B56" s="6" t="str">
        <f>IF(Jugadores!B56="","",Jugadores!B56)</f>
        <v/>
      </c>
      <c r="C56" s="2" t="str">
        <f>IF(B56="","",COUNTIFS(Partidos!$C:$C,Partidos!$X$2,Partidos!$D:$D,B56)+COUNTIFS(Partidos!$C:$C,Partidos!$X$2,Partidos!$E:$E,B56)+COUNTIFS(Partidos!$C:$C,Partidos!$X$2,Partidos!$F:$F,B56)+COUNTIFS(Partidos!$C:$C,Partidos!$X$2,Partidos!$G:$G,B56))</f>
        <v/>
      </c>
      <c r="D56" s="2" t="str">
        <f>IF(B56="","",COUNTIFS(Partidos!$C:$C,Partidos!$X$2,Partidos!$P:$P,"A",Partidos!$D:$D,B56)+COUNTIFS(Partidos!$C:$C,Partidos!$X$2,Partidos!$P:$P,"A",Partidos!$E:$E,B56)+COUNTIFS(Partidos!$C:$C,Partidos!$X$2,Partidos!$P:$P,"B",Partidos!$F:$F,B56)+COUNTIFS(Partidos!$C:$C,Partidos!$X$2,Partidos!$P:$P,"B",Partidos!$G:$G,B56))</f>
        <v/>
      </c>
      <c r="E56" s="2" t="str">
        <f t="shared" si="9"/>
        <v/>
      </c>
      <c r="F56" s="2" t="str">
        <f>IF(B56="","",SUMIFS(Partidos!$Q:$Q,Partidos!$C:$C,Partidos!$X$2,Partidos!$D:$D,B56)+SUMIFS(Partidos!$Q:$Q,Partidos!$C:$C,Partidos!$X$2,Partidos!$E:$E,B56)+SUMIFS(Partidos!$R:$R,Partidos!$C:$C,Partidos!$X$2,Partidos!$F:$F,B56)+SUMIFS(Partidos!$R:$R,Partidos!$C:$C,Partidos!$X$2,Partidos!$G:$G,B56))</f>
        <v/>
      </c>
      <c r="G56" s="2" t="str">
        <f>IF(B56="","",SUMIFS(Partidos!$R:$R,Partidos!$C:$C,Partidos!$X$2,Partidos!$D:$D,B56)+SUMIFS(Partidos!$R:$R,Partidos!$C:$C,Partidos!$X$2,Partidos!$E:$E,B56)+SUMIFS(Partidos!$Q:$Q,Partidos!$C:$C,Partidos!$X$2,Partidos!$F:$F,B56)+SUMIFS(Partidos!$Q:$Q,Partidos!$C:$C,Partidos!$X$2,Partidos!$G:$G,B56))</f>
        <v/>
      </c>
      <c r="H56" s="2" t="str">
        <f t="shared" si="10"/>
        <v/>
      </c>
      <c r="I56" s="10" t="str">
        <f>IF(B56="","",SUMIFS(Partidos!$T:$T,Partidos!$C:$C,Partidos!$X$2,Partidos!$D:$D,B56)+SUMIFS(Partidos!$T:$T,Partidos!$C:$C,Partidos!$X$2,Partidos!$E:$E,B56)+SUMIFS(Partidos!$U:$U,Partidos!$C:$C,Partidos!$X$2,Partidos!$F:$F,B56)+SUMIFS(Partidos!$U:$U,Partidos!$C:$C,Partidos!$X$2,Partidos!$G:$G,B56))</f>
        <v/>
      </c>
      <c r="J56" s="10" t="str">
        <f>IF(B56="","",D56*Partidos!$X$3 + E56*Partidos!$X$4 + I56)</f>
        <v/>
      </c>
      <c r="K56" s="10" t="str">
        <f>IF(B56="","",SUMIFS(Partidos!$N:$N,Partidos!$C:$C,Partidos!$X$2,Partidos!$D:$D,B56)+SUMIFS(Partidos!$N:$N,Partidos!$C:$C,Partidos!$X$2,Partidos!$E:$E,B56)+SUMIFS(Partidos!$O:$O,Partidos!$C:$C,Partidos!$X$2,Partidos!$F:$F,B56)+SUMIFS(Partidos!$O:$O,Partidos!$C:$C,Partidos!$X$2,Partidos!$G:$G,B56))</f>
        <v/>
      </c>
      <c r="L56" s="10" t="str">
        <f>IF(B56="","",SUMIFS(Partidos!$O:$O,Partidos!$C:$C,Partidos!$X$2,Partidos!$D:$D,B56)+SUMIFS(Partidos!$O:$O,Partidos!$C:$C,Partidos!$X$2,Partidos!$E:$E,B56)+SUMIFS(Partidos!$N:$N,Partidos!$C:$C,Partidos!$X$2,Partidos!$F:$F,B56)+SUMIFS(Partidos!$N:$N,Partidos!$C:$C,Partidos!$X$2,Partidos!$G:$G,B56))</f>
        <v/>
      </c>
      <c r="M56" s="10" t="str">
        <f t="shared" si="11"/>
        <v/>
      </c>
    </row>
    <row r="57" spans="1:13" x14ac:dyDescent="0.3">
      <c r="A57" s="2" t="str">
        <f t="shared" si="8"/>
        <v/>
      </c>
      <c r="B57" s="6" t="str">
        <f>IF(Jugadores!B57="","",Jugadores!B57)</f>
        <v/>
      </c>
      <c r="C57" s="2" t="str">
        <f>IF(B57="","",COUNTIFS(Partidos!$C:$C,Partidos!$X$2,Partidos!$D:$D,B57)+COUNTIFS(Partidos!$C:$C,Partidos!$X$2,Partidos!$E:$E,B57)+COUNTIFS(Partidos!$C:$C,Partidos!$X$2,Partidos!$F:$F,B57)+COUNTIFS(Partidos!$C:$C,Partidos!$X$2,Partidos!$G:$G,B57))</f>
        <v/>
      </c>
      <c r="D57" s="2" t="str">
        <f>IF(B57="","",COUNTIFS(Partidos!$C:$C,Partidos!$X$2,Partidos!$P:$P,"A",Partidos!$D:$D,B57)+COUNTIFS(Partidos!$C:$C,Partidos!$X$2,Partidos!$P:$P,"A",Partidos!$E:$E,B57)+COUNTIFS(Partidos!$C:$C,Partidos!$X$2,Partidos!$P:$P,"B",Partidos!$F:$F,B57)+COUNTIFS(Partidos!$C:$C,Partidos!$X$2,Partidos!$P:$P,"B",Partidos!$G:$G,B57))</f>
        <v/>
      </c>
      <c r="E57" s="2" t="str">
        <f t="shared" si="9"/>
        <v/>
      </c>
      <c r="F57" s="2" t="str">
        <f>IF(B57="","",SUMIFS(Partidos!$Q:$Q,Partidos!$C:$C,Partidos!$X$2,Partidos!$D:$D,B57)+SUMIFS(Partidos!$Q:$Q,Partidos!$C:$C,Partidos!$X$2,Partidos!$E:$E,B57)+SUMIFS(Partidos!$R:$R,Partidos!$C:$C,Partidos!$X$2,Partidos!$F:$F,B57)+SUMIFS(Partidos!$R:$R,Partidos!$C:$C,Partidos!$X$2,Partidos!$G:$G,B57))</f>
        <v/>
      </c>
      <c r="G57" s="2" t="str">
        <f>IF(B57="","",SUMIFS(Partidos!$R:$R,Partidos!$C:$C,Partidos!$X$2,Partidos!$D:$D,B57)+SUMIFS(Partidos!$R:$R,Partidos!$C:$C,Partidos!$X$2,Partidos!$E:$E,B57)+SUMIFS(Partidos!$Q:$Q,Partidos!$C:$C,Partidos!$X$2,Partidos!$F:$F,B57)+SUMIFS(Partidos!$Q:$Q,Partidos!$C:$C,Partidos!$X$2,Partidos!$G:$G,B57))</f>
        <v/>
      </c>
      <c r="H57" s="2" t="str">
        <f t="shared" si="10"/>
        <v/>
      </c>
      <c r="I57" s="10" t="str">
        <f>IF(B57="","",SUMIFS(Partidos!$T:$T,Partidos!$C:$C,Partidos!$X$2,Partidos!$D:$D,B57)+SUMIFS(Partidos!$T:$T,Partidos!$C:$C,Partidos!$X$2,Partidos!$E:$E,B57)+SUMIFS(Partidos!$U:$U,Partidos!$C:$C,Partidos!$X$2,Partidos!$F:$F,B57)+SUMIFS(Partidos!$U:$U,Partidos!$C:$C,Partidos!$X$2,Partidos!$G:$G,B57))</f>
        <v/>
      </c>
      <c r="J57" s="10" t="str">
        <f>IF(B57="","",D57*Partidos!$X$3 + E57*Partidos!$X$4 + I57)</f>
        <v/>
      </c>
      <c r="K57" s="10" t="str">
        <f>IF(B57="","",SUMIFS(Partidos!$N:$N,Partidos!$C:$C,Partidos!$X$2,Partidos!$D:$D,B57)+SUMIFS(Partidos!$N:$N,Partidos!$C:$C,Partidos!$X$2,Partidos!$E:$E,B57)+SUMIFS(Partidos!$O:$O,Partidos!$C:$C,Partidos!$X$2,Partidos!$F:$F,B57)+SUMIFS(Partidos!$O:$O,Partidos!$C:$C,Partidos!$X$2,Partidos!$G:$G,B57))</f>
        <v/>
      </c>
      <c r="L57" s="10" t="str">
        <f>IF(B57="","",SUMIFS(Partidos!$O:$O,Partidos!$C:$C,Partidos!$X$2,Partidos!$D:$D,B57)+SUMIFS(Partidos!$O:$O,Partidos!$C:$C,Partidos!$X$2,Partidos!$E:$E,B57)+SUMIFS(Partidos!$N:$N,Partidos!$C:$C,Partidos!$X$2,Partidos!$F:$F,B57)+SUMIFS(Partidos!$N:$N,Partidos!$C:$C,Partidos!$X$2,Partidos!$G:$G,B57))</f>
        <v/>
      </c>
      <c r="M57" s="10" t="str">
        <f t="shared" si="11"/>
        <v/>
      </c>
    </row>
    <row r="58" spans="1:13" x14ac:dyDescent="0.3">
      <c r="A58" s="2" t="str">
        <f t="shared" si="8"/>
        <v/>
      </c>
      <c r="B58" s="6" t="str">
        <f>IF(Jugadores!B58="","",Jugadores!B58)</f>
        <v/>
      </c>
      <c r="C58" s="2" t="str">
        <f>IF(B58="","",COUNTIFS(Partidos!$C:$C,Partidos!$X$2,Partidos!$D:$D,B58)+COUNTIFS(Partidos!$C:$C,Partidos!$X$2,Partidos!$E:$E,B58)+COUNTIFS(Partidos!$C:$C,Partidos!$X$2,Partidos!$F:$F,B58)+COUNTIFS(Partidos!$C:$C,Partidos!$X$2,Partidos!$G:$G,B58))</f>
        <v/>
      </c>
      <c r="D58" s="2" t="str">
        <f>IF(B58="","",COUNTIFS(Partidos!$C:$C,Partidos!$X$2,Partidos!$P:$P,"A",Partidos!$D:$D,B58)+COUNTIFS(Partidos!$C:$C,Partidos!$X$2,Partidos!$P:$P,"A",Partidos!$E:$E,B58)+COUNTIFS(Partidos!$C:$C,Partidos!$X$2,Partidos!$P:$P,"B",Partidos!$F:$F,B58)+COUNTIFS(Partidos!$C:$C,Partidos!$X$2,Partidos!$P:$P,"B",Partidos!$G:$G,B58))</f>
        <v/>
      </c>
      <c r="E58" s="2" t="str">
        <f t="shared" si="9"/>
        <v/>
      </c>
      <c r="F58" s="2" t="str">
        <f>IF(B58="","",SUMIFS(Partidos!$Q:$Q,Partidos!$C:$C,Partidos!$X$2,Partidos!$D:$D,B58)+SUMIFS(Partidos!$Q:$Q,Partidos!$C:$C,Partidos!$X$2,Partidos!$E:$E,B58)+SUMIFS(Partidos!$R:$R,Partidos!$C:$C,Partidos!$X$2,Partidos!$F:$F,B58)+SUMIFS(Partidos!$R:$R,Partidos!$C:$C,Partidos!$X$2,Partidos!$G:$G,B58))</f>
        <v/>
      </c>
      <c r="G58" s="2" t="str">
        <f>IF(B58="","",SUMIFS(Partidos!$R:$R,Partidos!$C:$C,Partidos!$X$2,Partidos!$D:$D,B58)+SUMIFS(Partidos!$R:$R,Partidos!$C:$C,Partidos!$X$2,Partidos!$E:$E,B58)+SUMIFS(Partidos!$Q:$Q,Partidos!$C:$C,Partidos!$X$2,Partidos!$F:$F,B58)+SUMIFS(Partidos!$Q:$Q,Partidos!$C:$C,Partidos!$X$2,Partidos!$G:$G,B58))</f>
        <v/>
      </c>
      <c r="H58" s="2" t="str">
        <f t="shared" si="10"/>
        <v/>
      </c>
      <c r="I58" s="10" t="str">
        <f>IF(B58="","",SUMIFS(Partidos!$T:$T,Partidos!$C:$C,Partidos!$X$2,Partidos!$D:$D,B58)+SUMIFS(Partidos!$T:$T,Partidos!$C:$C,Partidos!$X$2,Partidos!$E:$E,B58)+SUMIFS(Partidos!$U:$U,Partidos!$C:$C,Partidos!$X$2,Partidos!$F:$F,B58)+SUMIFS(Partidos!$U:$U,Partidos!$C:$C,Partidos!$X$2,Partidos!$G:$G,B58))</f>
        <v/>
      </c>
      <c r="J58" s="10" t="str">
        <f>IF(B58="","",D58*Partidos!$X$3 + E58*Partidos!$X$4 + I58)</f>
        <v/>
      </c>
      <c r="K58" s="10" t="str">
        <f>IF(B58="","",SUMIFS(Partidos!$N:$N,Partidos!$C:$C,Partidos!$X$2,Partidos!$D:$D,B58)+SUMIFS(Partidos!$N:$N,Partidos!$C:$C,Partidos!$X$2,Partidos!$E:$E,B58)+SUMIFS(Partidos!$O:$O,Partidos!$C:$C,Partidos!$X$2,Partidos!$F:$F,B58)+SUMIFS(Partidos!$O:$O,Partidos!$C:$C,Partidos!$X$2,Partidos!$G:$G,B58))</f>
        <v/>
      </c>
      <c r="L58" s="10" t="str">
        <f>IF(B58="","",SUMIFS(Partidos!$O:$O,Partidos!$C:$C,Partidos!$X$2,Partidos!$D:$D,B58)+SUMIFS(Partidos!$O:$O,Partidos!$C:$C,Partidos!$X$2,Partidos!$E:$E,B58)+SUMIFS(Partidos!$N:$N,Partidos!$C:$C,Partidos!$X$2,Partidos!$F:$F,B58)+SUMIFS(Partidos!$N:$N,Partidos!$C:$C,Partidos!$X$2,Partidos!$G:$G,B58))</f>
        <v/>
      </c>
      <c r="M58" s="10" t="str">
        <f t="shared" si="11"/>
        <v/>
      </c>
    </row>
    <row r="59" spans="1:13" x14ac:dyDescent="0.3">
      <c r="A59" s="2" t="str">
        <f t="shared" si="8"/>
        <v/>
      </c>
      <c r="B59" s="6" t="str">
        <f>IF(Jugadores!B59="","",Jugadores!B59)</f>
        <v/>
      </c>
      <c r="C59" s="2" t="str">
        <f>IF(B59="","",COUNTIFS(Partidos!$C:$C,Partidos!$X$2,Partidos!$D:$D,B59)+COUNTIFS(Partidos!$C:$C,Partidos!$X$2,Partidos!$E:$E,B59)+COUNTIFS(Partidos!$C:$C,Partidos!$X$2,Partidos!$F:$F,B59)+COUNTIFS(Partidos!$C:$C,Partidos!$X$2,Partidos!$G:$G,B59))</f>
        <v/>
      </c>
      <c r="D59" s="2" t="str">
        <f>IF(B59="","",COUNTIFS(Partidos!$C:$C,Partidos!$X$2,Partidos!$P:$P,"A",Partidos!$D:$D,B59)+COUNTIFS(Partidos!$C:$C,Partidos!$X$2,Partidos!$P:$P,"A",Partidos!$E:$E,B59)+COUNTIFS(Partidos!$C:$C,Partidos!$X$2,Partidos!$P:$P,"B",Partidos!$F:$F,B59)+COUNTIFS(Partidos!$C:$C,Partidos!$X$2,Partidos!$P:$P,"B",Partidos!$G:$G,B59))</f>
        <v/>
      </c>
      <c r="E59" s="2" t="str">
        <f t="shared" si="9"/>
        <v/>
      </c>
      <c r="F59" s="2" t="str">
        <f>IF(B59="","",SUMIFS(Partidos!$Q:$Q,Partidos!$C:$C,Partidos!$X$2,Partidos!$D:$D,B59)+SUMIFS(Partidos!$Q:$Q,Partidos!$C:$C,Partidos!$X$2,Partidos!$E:$E,B59)+SUMIFS(Partidos!$R:$R,Partidos!$C:$C,Partidos!$X$2,Partidos!$F:$F,B59)+SUMIFS(Partidos!$R:$R,Partidos!$C:$C,Partidos!$X$2,Partidos!$G:$G,B59))</f>
        <v/>
      </c>
      <c r="G59" s="2" t="str">
        <f>IF(B59="","",SUMIFS(Partidos!$R:$R,Partidos!$C:$C,Partidos!$X$2,Partidos!$D:$D,B59)+SUMIFS(Partidos!$R:$R,Partidos!$C:$C,Partidos!$X$2,Partidos!$E:$E,B59)+SUMIFS(Partidos!$Q:$Q,Partidos!$C:$C,Partidos!$X$2,Partidos!$F:$F,B59)+SUMIFS(Partidos!$Q:$Q,Partidos!$C:$C,Partidos!$X$2,Partidos!$G:$G,B59))</f>
        <v/>
      </c>
      <c r="H59" s="2" t="str">
        <f t="shared" si="10"/>
        <v/>
      </c>
      <c r="I59" s="10" t="str">
        <f>IF(B59="","",SUMIFS(Partidos!$T:$T,Partidos!$C:$C,Partidos!$X$2,Partidos!$D:$D,B59)+SUMIFS(Partidos!$T:$T,Partidos!$C:$C,Partidos!$X$2,Partidos!$E:$E,B59)+SUMIFS(Partidos!$U:$U,Partidos!$C:$C,Partidos!$X$2,Partidos!$F:$F,B59)+SUMIFS(Partidos!$U:$U,Partidos!$C:$C,Partidos!$X$2,Partidos!$G:$G,B59))</f>
        <v/>
      </c>
      <c r="J59" s="10" t="str">
        <f>IF(B59="","",D59*Partidos!$X$3 + E59*Partidos!$X$4 + I59)</f>
        <v/>
      </c>
      <c r="K59" s="10" t="str">
        <f>IF(B59="","",SUMIFS(Partidos!$N:$N,Partidos!$C:$C,Partidos!$X$2,Partidos!$D:$D,B59)+SUMIFS(Partidos!$N:$N,Partidos!$C:$C,Partidos!$X$2,Partidos!$E:$E,B59)+SUMIFS(Partidos!$O:$O,Partidos!$C:$C,Partidos!$X$2,Partidos!$F:$F,B59)+SUMIFS(Partidos!$O:$O,Partidos!$C:$C,Partidos!$X$2,Partidos!$G:$G,B59))</f>
        <v/>
      </c>
      <c r="L59" s="10" t="str">
        <f>IF(B59="","",SUMIFS(Partidos!$O:$O,Partidos!$C:$C,Partidos!$X$2,Partidos!$D:$D,B59)+SUMIFS(Partidos!$O:$O,Partidos!$C:$C,Partidos!$X$2,Partidos!$E:$E,B59)+SUMIFS(Partidos!$N:$N,Partidos!$C:$C,Partidos!$X$2,Partidos!$F:$F,B59)+SUMIFS(Partidos!$N:$N,Partidos!$C:$C,Partidos!$X$2,Partidos!$G:$G,B59))</f>
        <v/>
      </c>
      <c r="M59" s="10" t="str">
        <f t="shared" si="11"/>
        <v/>
      </c>
    </row>
    <row r="60" spans="1:13" x14ac:dyDescent="0.3">
      <c r="A60" s="2" t="str">
        <f t="shared" si="8"/>
        <v/>
      </c>
      <c r="B60" s="6" t="str">
        <f>IF(Jugadores!B60="","",Jugadores!B60)</f>
        <v/>
      </c>
      <c r="C60" s="2" t="str">
        <f>IF(B60="","",COUNTIFS(Partidos!$C:$C,Partidos!$X$2,Partidos!$D:$D,B60)+COUNTIFS(Partidos!$C:$C,Partidos!$X$2,Partidos!$E:$E,B60)+COUNTIFS(Partidos!$C:$C,Partidos!$X$2,Partidos!$F:$F,B60)+COUNTIFS(Partidos!$C:$C,Partidos!$X$2,Partidos!$G:$G,B60))</f>
        <v/>
      </c>
      <c r="D60" s="2" t="str">
        <f>IF(B60="","",COUNTIFS(Partidos!$C:$C,Partidos!$X$2,Partidos!$P:$P,"A",Partidos!$D:$D,B60)+COUNTIFS(Partidos!$C:$C,Partidos!$X$2,Partidos!$P:$P,"A",Partidos!$E:$E,B60)+COUNTIFS(Partidos!$C:$C,Partidos!$X$2,Partidos!$P:$P,"B",Partidos!$F:$F,B60)+COUNTIFS(Partidos!$C:$C,Partidos!$X$2,Partidos!$P:$P,"B",Partidos!$G:$G,B60))</f>
        <v/>
      </c>
      <c r="E60" s="2" t="str">
        <f t="shared" si="9"/>
        <v/>
      </c>
      <c r="F60" s="2" t="str">
        <f>IF(B60="","",SUMIFS(Partidos!$Q:$Q,Partidos!$C:$C,Partidos!$X$2,Partidos!$D:$D,B60)+SUMIFS(Partidos!$Q:$Q,Partidos!$C:$C,Partidos!$X$2,Partidos!$E:$E,B60)+SUMIFS(Partidos!$R:$R,Partidos!$C:$C,Partidos!$X$2,Partidos!$F:$F,B60)+SUMIFS(Partidos!$R:$R,Partidos!$C:$C,Partidos!$X$2,Partidos!$G:$G,B60))</f>
        <v/>
      </c>
      <c r="G60" s="2" t="str">
        <f>IF(B60="","",SUMIFS(Partidos!$R:$R,Partidos!$C:$C,Partidos!$X$2,Partidos!$D:$D,B60)+SUMIFS(Partidos!$R:$R,Partidos!$C:$C,Partidos!$X$2,Partidos!$E:$E,B60)+SUMIFS(Partidos!$Q:$Q,Partidos!$C:$C,Partidos!$X$2,Partidos!$F:$F,B60)+SUMIFS(Partidos!$Q:$Q,Partidos!$C:$C,Partidos!$X$2,Partidos!$G:$G,B60))</f>
        <v/>
      </c>
      <c r="H60" s="2" t="str">
        <f t="shared" si="10"/>
        <v/>
      </c>
      <c r="I60" s="10" t="str">
        <f>IF(B60="","",SUMIFS(Partidos!$T:$T,Partidos!$C:$C,Partidos!$X$2,Partidos!$D:$D,B60)+SUMIFS(Partidos!$T:$T,Partidos!$C:$C,Partidos!$X$2,Partidos!$E:$E,B60)+SUMIFS(Partidos!$U:$U,Partidos!$C:$C,Partidos!$X$2,Partidos!$F:$F,B60)+SUMIFS(Partidos!$U:$U,Partidos!$C:$C,Partidos!$X$2,Partidos!$G:$G,B60))</f>
        <v/>
      </c>
      <c r="J60" s="10" t="str">
        <f>IF(B60="","",D60*Partidos!$X$3 + E60*Partidos!$X$4 + I60)</f>
        <v/>
      </c>
      <c r="K60" s="10" t="str">
        <f>IF(B60="","",SUMIFS(Partidos!$N:$N,Partidos!$C:$C,Partidos!$X$2,Partidos!$D:$D,B60)+SUMIFS(Partidos!$N:$N,Partidos!$C:$C,Partidos!$X$2,Partidos!$E:$E,B60)+SUMIFS(Partidos!$O:$O,Partidos!$C:$C,Partidos!$X$2,Partidos!$F:$F,B60)+SUMIFS(Partidos!$O:$O,Partidos!$C:$C,Partidos!$X$2,Partidos!$G:$G,B60))</f>
        <v/>
      </c>
      <c r="L60" s="10" t="str">
        <f>IF(B60="","",SUMIFS(Partidos!$O:$O,Partidos!$C:$C,Partidos!$X$2,Partidos!$D:$D,B60)+SUMIFS(Partidos!$O:$O,Partidos!$C:$C,Partidos!$X$2,Partidos!$E:$E,B60)+SUMIFS(Partidos!$N:$N,Partidos!$C:$C,Partidos!$X$2,Partidos!$F:$F,B60)+SUMIFS(Partidos!$N:$N,Partidos!$C:$C,Partidos!$X$2,Partidos!$G:$G,B60))</f>
        <v/>
      </c>
      <c r="M60" s="10" t="str">
        <f t="shared" si="11"/>
        <v/>
      </c>
    </row>
    <row r="61" spans="1:13" x14ac:dyDescent="0.3">
      <c r="A61" s="2" t="str">
        <f t="shared" si="8"/>
        <v/>
      </c>
      <c r="B61" s="6" t="str">
        <f>IF(Jugadores!B61="","",Jugadores!B61)</f>
        <v/>
      </c>
      <c r="C61" s="2" t="str">
        <f>IF(B61="","",COUNTIFS(Partidos!$C:$C,Partidos!$X$2,Partidos!$D:$D,B61)+COUNTIFS(Partidos!$C:$C,Partidos!$X$2,Partidos!$E:$E,B61)+COUNTIFS(Partidos!$C:$C,Partidos!$X$2,Partidos!$F:$F,B61)+COUNTIFS(Partidos!$C:$C,Partidos!$X$2,Partidos!$G:$G,B61))</f>
        <v/>
      </c>
      <c r="D61" s="2" t="str">
        <f>IF(B61="","",COUNTIFS(Partidos!$C:$C,Partidos!$X$2,Partidos!$P:$P,"A",Partidos!$D:$D,B61)+COUNTIFS(Partidos!$C:$C,Partidos!$X$2,Partidos!$P:$P,"A",Partidos!$E:$E,B61)+COUNTIFS(Partidos!$C:$C,Partidos!$X$2,Partidos!$P:$P,"B",Partidos!$F:$F,B61)+COUNTIFS(Partidos!$C:$C,Partidos!$X$2,Partidos!$P:$P,"B",Partidos!$G:$G,B61))</f>
        <v/>
      </c>
      <c r="E61" s="2" t="str">
        <f t="shared" si="9"/>
        <v/>
      </c>
      <c r="F61" s="2" t="str">
        <f>IF(B61="","",SUMIFS(Partidos!$Q:$Q,Partidos!$C:$C,Partidos!$X$2,Partidos!$D:$D,B61)+SUMIFS(Partidos!$Q:$Q,Partidos!$C:$C,Partidos!$X$2,Partidos!$E:$E,B61)+SUMIFS(Partidos!$R:$R,Partidos!$C:$C,Partidos!$X$2,Partidos!$F:$F,B61)+SUMIFS(Partidos!$R:$R,Partidos!$C:$C,Partidos!$X$2,Partidos!$G:$G,B61))</f>
        <v/>
      </c>
      <c r="G61" s="2" t="str">
        <f>IF(B61="","",SUMIFS(Partidos!$R:$R,Partidos!$C:$C,Partidos!$X$2,Partidos!$D:$D,B61)+SUMIFS(Partidos!$R:$R,Partidos!$C:$C,Partidos!$X$2,Partidos!$E:$E,B61)+SUMIFS(Partidos!$Q:$Q,Partidos!$C:$C,Partidos!$X$2,Partidos!$F:$F,B61)+SUMIFS(Partidos!$Q:$Q,Partidos!$C:$C,Partidos!$X$2,Partidos!$G:$G,B61))</f>
        <v/>
      </c>
      <c r="H61" s="2" t="str">
        <f t="shared" si="10"/>
        <v/>
      </c>
      <c r="I61" s="10" t="str">
        <f>IF(B61="","",SUMIFS(Partidos!$T:$T,Partidos!$C:$C,Partidos!$X$2,Partidos!$D:$D,B61)+SUMIFS(Partidos!$T:$T,Partidos!$C:$C,Partidos!$X$2,Partidos!$E:$E,B61)+SUMIFS(Partidos!$U:$U,Partidos!$C:$C,Partidos!$X$2,Partidos!$F:$F,B61)+SUMIFS(Partidos!$U:$U,Partidos!$C:$C,Partidos!$X$2,Partidos!$G:$G,B61))</f>
        <v/>
      </c>
      <c r="J61" s="10" t="str">
        <f>IF(B61="","",D61*Partidos!$X$3 + E61*Partidos!$X$4 + I61)</f>
        <v/>
      </c>
      <c r="K61" s="10" t="str">
        <f>IF(B61="","",SUMIFS(Partidos!$N:$N,Partidos!$C:$C,Partidos!$X$2,Partidos!$D:$D,B61)+SUMIFS(Partidos!$N:$N,Partidos!$C:$C,Partidos!$X$2,Partidos!$E:$E,B61)+SUMIFS(Partidos!$O:$O,Partidos!$C:$C,Partidos!$X$2,Partidos!$F:$F,B61)+SUMIFS(Partidos!$O:$O,Partidos!$C:$C,Partidos!$X$2,Partidos!$G:$G,B61))</f>
        <v/>
      </c>
      <c r="L61" s="10" t="str">
        <f>IF(B61="","",SUMIFS(Partidos!$O:$O,Partidos!$C:$C,Partidos!$X$2,Partidos!$D:$D,B61)+SUMIFS(Partidos!$O:$O,Partidos!$C:$C,Partidos!$X$2,Partidos!$E:$E,B61)+SUMIFS(Partidos!$N:$N,Partidos!$C:$C,Partidos!$X$2,Partidos!$F:$F,B61)+SUMIFS(Partidos!$N:$N,Partidos!$C:$C,Partidos!$X$2,Partidos!$G:$G,B61))</f>
        <v/>
      </c>
      <c r="M61" s="10" t="str">
        <f t="shared" si="11"/>
        <v/>
      </c>
    </row>
  </sheetData>
  <autoFilter ref="A1:J61" xr:uid="{00000000-0009-0000-0000-000003000000}"/>
  <sortState xmlns:xlrd2="http://schemas.microsoft.com/office/spreadsheetml/2017/richdata2" ref="A2:M17">
    <sortCondition ref="A2:A17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workbookViewId="0">
      <pane ySplit="3" topLeftCell="A4" activePane="bottomLeft" state="frozen"/>
      <selection pane="bottomLeft" activeCell="B22" sqref="B22"/>
    </sheetView>
  </sheetViews>
  <sheetFormatPr baseColWidth="10" defaultColWidth="8.88671875" defaultRowHeight="14.4" x14ac:dyDescent="0.3"/>
  <cols>
    <col min="1" max="1" width="10" customWidth="1"/>
    <col min="2" max="2" width="22" customWidth="1"/>
    <col min="3" max="10" width="10" customWidth="1"/>
  </cols>
  <sheetData>
    <row r="1" spans="1:13" ht="18" x14ac:dyDescent="0.35">
      <c r="A1" s="33" t="s">
        <v>60</v>
      </c>
      <c r="B1" s="31"/>
      <c r="C1" s="31"/>
      <c r="D1" s="31"/>
      <c r="E1" s="31"/>
      <c r="F1" s="31"/>
      <c r="G1" s="31"/>
      <c r="H1" s="31"/>
      <c r="I1" s="31"/>
      <c r="J1" s="31"/>
      <c r="L1" s="5" t="s">
        <v>61</v>
      </c>
      <c r="M1">
        <f>Partidos!$Z$5</f>
        <v>2025</v>
      </c>
    </row>
    <row r="3" spans="1:13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62</v>
      </c>
    </row>
    <row r="4" spans="1:13" x14ac:dyDescent="0.3">
      <c r="A4" s="2">
        <f t="shared" ref="A4:A35" si="0">IF(B4="","",RANK(J4,$J$4:$J$63,0)+COUNTIFS($J$4:$J$63,J4,$H$4:$H$63,"&gt;"&amp;H4)+COUNTIFS($J$4:$J$63,J4,$H$4:$H$63,H4,$D$4:$D$63,"&gt;"&amp;D4)+COUNTIFS($J$4:$J$63,J4,$H$4:$H$63,H4,$D$4:$D$63,D4,$B$4:$B$63,"&gt;"&amp;B4))</f>
        <v>1</v>
      </c>
      <c r="B4" s="6" t="str">
        <f>Ranking!B2</f>
        <v>Carmelo Rosario</v>
      </c>
      <c r="C4" s="2">
        <f>IF(B4="","",COUNTIFS(Partidos!$AB:$AB,TRUE,Partidos!$C:$C,Partidos!$X$2,Partidos!$D:$D,B4)+COUNTIFS(Partidos!$AB:$AB,TRUE,Partidos!$C:$C,Partidos!$X$2,Partidos!$E:$E,B4)+COUNTIFS(Partidos!$AB:$AB,TRUE,Partidos!$C:$C,Partidos!$X$2,Partidos!$F:$F,B4)+COUNTIFS(Partidos!$AB:$AB,TRUE,Partidos!$C:$C,Partidos!$X$2,Partidos!$G:$G,B4))</f>
        <v>35</v>
      </c>
      <c r="D4" s="2">
        <f>IF(B4="","",COUNTIFS(Partidos!$AB:$AB,TRUE,Partidos!$C:$C,Partidos!$X$2,Partidos!$P:$P,"A",Partidos!$D:$D,B4)+COUNTIFS(Partidos!$AB:$AB,TRUE,Partidos!$C:$C,Partidos!$X$2,Partidos!$P:$P,"A",Partidos!$E:$E,B4)+COUNTIFS(Partidos!$AB:$AB,TRUE,Partidos!$C:$C,Partidos!$X$2,Partidos!$P:$P,"B",Partidos!$F:$F,B4)+COUNTIFS(Partidos!$AB:$AB,TRUE,Partidos!$C:$C,Partidos!$X$2,Partidos!$P:$P,"B",Partidos!$G:$G,B4))</f>
        <v>23</v>
      </c>
      <c r="E4" s="2">
        <f t="shared" ref="E4:E35" si="1">IF(B4="","",C4-D4)</f>
        <v>12</v>
      </c>
      <c r="F4" s="2">
        <f>IF(B4="","",SUMIFS(Partidos!$Q:$Q,Partidos!$AB:$AB,TRUE,Partidos!$C:$C,Partidos!$X$2,Partidos!$D:$D,B4)+SUMIFS(Partidos!$Q:$Q,Partidos!$AB:$AB,TRUE,Partidos!$C:$C,Partidos!$X$2,Partidos!$E:$E,B4)+SUMIFS(Partidos!$R:$R,Partidos!$AB:$AB,TRUE,Partidos!$C:$C,Partidos!$X$2,Partidos!$F:$F,B4)+SUMIFS(Partidos!$R:$R,Partidos!$AB:$AB,TRUE,Partidos!$C:$C,Partidos!$X$2,Partidos!$G:$G,B4))</f>
        <v>422</v>
      </c>
      <c r="G4" s="2">
        <f>IF(B4="","",SUMIFS(Partidos!$R:$R,Partidos!$AB:$AB,TRUE,Partidos!$C:$C,Partidos!$X$2,Partidos!$D:$D,B4)+SUMIFS(Partidos!$R:$R,Partidos!$AB:$AB,TRUE,Partidos!$C:$C,Partidos!$X$2,Partidos!$E:$E,B4)+SUMIFS(Partidos!$Q:$Q,Partidos!$AB:$AB,TRUE,Partidos!$C:$C,Partidos!$X$2,Partidos!$F:$F,B4)+SUMIFS(Partidos!$Q:$Q,Partidos!$AB:$AB,TRUE,Partidos!$C:$C,Partidos!$X$2,Partidos!$G:$G,B4))</f>
        <v>361</v>
      </c>
      <c r="H4" s="2">
        <f t="shared" ref="H4:H35" si="2">IF(B4="","",F4-G4)</f>
        <v>61</v>
      </c>
      <c r="I4" s="10">
        <f>IF(B4="","",SUMIFS(Partidos!$T:$T,Partidos!$AB:$AB,TRUE,Partidos!$C:$C,Partidos!$X$2,Partidos!$D:$D,B4)+SUMIFS(Partidos!$T:$T,Partidos!$AB:$AB,TRUE,Partidos!$C:$C,Partidos!$X$2,Partidos!$E:$E,B4)+SUMIFS(Partidos!$U:$U,Partidos!$AB:$AB,TRUE,Partidos!$C:$C,Partidos!$X$2,Partidos!$F:$F,B4)+SUMIFS(Partidos!$U:$U,Partidos!$AB:$AB,TRUE,Partidos!$C:$C,Partidos!$X$2,Partidos!$G:$G,B4))</f>
        <v>2.4800000000000004</v>
      </c>
      <c r="J4" s="10">
        <f>IF(B4="","",D4*Partidos!$X$3 + E4*Partidos!$X$4 + I4)</f>
        <v>48.480000000000004</v>
      </c>
    </row>
    <row r="5" spans="1:13" x14ac:dyDescent="0.3">
      <c r="A5" s="2">
        <f t="shared" si="0"/>
        <v>2</v>
      </c>
      <c r="B5" s="6" t="str">
        <f>Ranking!B3</f>
        <v>Javier suarez</v>
      </c>
      <c r="C5" s="2">
        <f>IF(B5="","",COUNTIFS(Partidos!$AB:$AB,TRUE,Partidos!$C:$C,Partidos!$X$2,Partidos!$D:$D,B5)+COUNTIFS(Partidos!$AB:$AB,TRUE,Partidos!$C:$C,Partidos!$X$2,Partidos!$E:$E,B5)+COUNTIFS(Partidos!$AB:$AB,TRUE,Partidos!$C:$C,Partidos!$X$2,Partidos!$F:$F,B5)+COUNTIFS(Partidos!$AB:$AB,TRUE,Partidos!$C:$C,Partidos!$X$2,Partidos!$G:$G,B5))</f>
        <v>28</v>
      </c>
      <c r="D5" s="2">
        <f>IF(B5="","",COUNTIFS(Partidos!$AB:$AB,TRUE,Partidos!$C:$C,Partidos!$X$2,Partidos!$P:$P,"A",Partidos!$D:$D,B5)+COUNTIFS(Partidos!$AB:$AB,TRUE,Partidos!$C:$C,Partidos!$X$2,Partidos!$P:$P,"A",Partidos!$E:$E,B5)+COUNTIFS(Partidos!$AB:$AB,TRUE,Partidos!$C:$C,Partidos!$X$2,Partidos!$P:$P,"B",Partidos!$F:$F,B5)+COUNTIFS(Partidos!$AB:$AB,TRUE,Partidos!$C:$C,Partidos!$X$2,Partidos!$P:$P,"B",Partidos!$G:$G,B5))</f>
        <v>19</v>
      </c>
      <c r="E5" s="2">
        <f t="shared" si="1"/>
        <v>9</v>
      </c>
      <c r="F5" s="2">
        <f>IF(B5="","",SUMIFS(Partidos!$Q:$Q,Partidos!$AB:$AB,TRUE,Partidos!$C:$C,Partidos!$X$2,Partidos!$D:$D,B5)+SUMIFS(Partidos!$Q:$Q,Partidos!$AB:$AB,TRUE,Partidos!$C:$C,Partidos!$X$2,Partidos!$E:$E,B5)+SUMIFS(Partidos!$R:$R,Partidos!$AB:$AB,TRUE,Partidos!$C:$C,Partidos!$X$2,Partidos!$F:$F,B5)+SUMIFS(Partidos!$R:$R,Partidos!$AB:$AB,TRUE,Partidos!$C:$C,Partidos!$X$2,Partidos!$G:$G,B5))</f>
        <v>349</v>
      </c>
      <c r="G5" s="2">
        <f>IF(B5="","",SUMIFS(Partidos!$R:$R,Partidos!$AB:$AB,TRUE,Partidos!$C:$C,Partidos!$X$2,Partidos!$D:$D,B5)+SUMIFS(Partidos!$R:$R,Partidos!$AB:$AB,TRUE,Partidos!$C:$C,Partidos!$X$2,Partidos!$E:$E,B5)+SUMIFS(Partidos!$Q:$Q,Partidos!$AB:$AB,TRUE,Partidos!$C:$C,Partidos!$X$2,Partidos!$F:$F,B5)+SUMIFS(Partidos!$Q:$Q,Partidos!$AB:$AB,TRUE,Partidos!$C:$C,Partidos!$X$2,Partidos!$G:$G,B5))</f>
        <v>249</v>
      </c>
      <c r="H5" s="2">
        <f t="shared" si="2"/>
        <v>100</v>
      </c>
      <c r="I5" s="10">
        <f>IF(B5="","",SUMIFS(Partidos!$T:$T,Partidos!$AB:$AB,TRUE,Partidos!$C:$C,Partidos!$X$2,Partidos!$D:$D,B5)+SUMIFS(Partidos!$T:$T,Partidos!$AB:$AB,TRUE,Partidos!$C:$C,Partidos!$X$2,Partidos!$E:$E,B5)+SUMIFS(Partidos!$U:$U,Partidos!$AB:$AB,TRUE,Partidos!$C:$C,Partidos!$X$2,Partidos!$F:$F,B5)+SUMIFS(Partidos!$U:$U,Partidos!$AB:$AB,TRUE,Partidos!$C:$C,Partidos!$X$2,Partidos!$G:$G,B5))</f>
        <v>2.64</v>
      </c>
      <c r="J5" s="10">
        <f>IF(B5="","",D5*Partidos!$X$3 + E5*Partidos!$X$4 + I5)</f>
        <v>40.64</v>
      </c>
    </row>
    <row r="6" spans="1:13" x14ac:dyDescent="0.3">
      <c r="A6" s="2">
        <f t="shared" si="0"/>
        <v>3</v>
      </c>
      <c r="B6" s="6" t="str">
        <f>Ranking!B4</f>
        <v>Javier Bonilla</v>
      </c>
      <c r="C6" s="2">
        <f>IF(B6="","",COUNTIFS(Partidos!$AB:$AB,TRUE,Partidos!$C:$C,Partidos!$X$2,Partidos!$D:$D,B6)+COUNTIFS(Partidos!$AB:$AB,TRUE,Partidos!$C:$C,Partidos!$X$2,Partidos!$E:$E,B6)+COUNTIFS(Partidos!$AB:$AB,TRUE,Partidos!$C:$C,Partidos!$X$2,Partidos!$F:$F,B6)+COUNTIFS(Partidos!$AB:$AB,TRUE,Partidos!$C:$C,Partidos!$X$2,Partidos!$G:$G,B6))</f>
        <v>29</v>
      </c>
      <c r="D6" s="2">
        <f>IF(B6="","",COUNTIFS(Partidos!$AB:$AB,TRUE,Partidos!$C:$C,Partidos!$X$2,Partidos!$P:$P,"A",Partidos!$D:$D,B6)+COUNTIFS(Partidos!$AB:$AB,TRUE,Partidos!$C:$C,Partidos!$X$2,Partidos!$P:$P,"A",Partidos!$E:$E,B6)+COUNTIFS(Partidos!$AB:$AB,TRUE,Partidos!$C:$C,Partidos!$X$2,Partidos!$P:$P,"B",Partidos!$F:$F,B6)+COUNTIFS(Partidos!$AB:$AB,TRUE,Partidos!$C:$C,Partidos!$X$2,Partidos!$P:$P,"B",Partidos!$G:$G,B6))</f>
        <v>17</v>
      </c>
      <c r="E6" s="2">
        <f t="shared" si="1"/>
        <v>12</v>
      </c>
      <c r="F6" s="2">
        <f>IF(B6="","",SUMIFS(Partidos!$Q:$Q,Partidos!$AB:$AB,TRUE,Partidos!$C:$C,Partidos!$X$2,Partidos!$D:$D,B6)+SUMIFS(Partidos!$Q:$Q,Partidos!$AB:$AB,TRUE,Partidos!$C:$C,Partidos!$X$2,Partidos!$E:$E,B6)+SUMIFS(Partidos!$R:$R,Partidos!$AB:$AB,TRUE,Partidos!$C:$C,Partidos!$X$2,Partidos!$F:$F,B6)+SUMIFS(Partidos!$R:$R,Partidos!$AB:$AB,TRUE,Partidos!$C:$C,Partidos!$X$2,Partidos!$G:$G,B6))</f>
        <v>320</v>
      </c>
      <c r="G6" s="2">
        <f>IF(B6="","",SUMIFS(Partidos!$R:$R,Partidos!$AB:$AB,TRUE,Partidos!$C:$C,Partidos!$X$2,Partidos!$D:$D,B6)+SUMIFS(Partidos!$R:$R,Partidos!$AB:$AB,TRUE,Partidos!$C:$C,Partidos!$X$2,Partidos!$E:$E,B6)+SUMIFS(Partidos!$Q:$Q,Partidos!$AB:$AB,TRUE,Partidos!$C:$C,Partidos!$X$2,Partidos!$F:$F,B6)+SUMIFS(Partidos!$Q:$Q,Partidos!$AB:$AB,TRUE,Partidos!$C:$C,Partidos!$X$2,Partidos!$G:$G,B6))</f>
        <v>316</v>
      </c>
      <c r="H6" s="2">
        <f t="shared" si="2"/>
        <v>4</v>
      </c>
      <c r="I6" s="10">
        <f>IF(B6="","",SUMIFS(Partidos!$T:$T,Partidos!$AB:$AB,TRUE,Partidos!$C:$C,Partidos!$X$2,Partidos!$D:$D,B6)+SUMIFS(Partidos!$T:$T,Partidos!$AB:$AB,TRUE,Partidos!$C:$C,Partidos!$X$2,Partidos!$E:$E,B6)+SUMIFS(Partidos!$U:$U,Partidos!$AB:$AB,TRUE,Partidos!$C:$C,Partidos!$X$2,Partidos!$F:$F,B6)+SUMIFS(Partidos!$U:$U,Partidos!$AB:$AB,TRUE,Partidos!$C:$C,Partidos!$X$2,Partidos!$G:$G,B6))</f>
        <v>1.6</v>
      </c>
      <c r="J6" s="10">
        <f>IF(B6="","",D6*Partidos!$X$3 + E6*Partidos!$X$4 + I6)</f>
        <v>35.6</v>
      </c>
    </row>
    <row r="7" spans="1:13" x14ac:dyDescent="0.3">
      <c r="A7" s="2">
        <f t="shared" si="0"/>
        <v>4</v>
      </c>
      <c r="B7" s="6" t="str">
        <f>Ranking!B5</f>
        <v>Israel Suárez</v>
      </c>
      <c r="C7" s="2">
        <f>IF(B7="","",COUNTIFS(Partidos!$AB:$AB,TRUE,Partidos!$C:$C,Partidos!$X$2,Partidos!$D:$D,B7)+COUNTIFS(Partidos!$AB:$AB,TRUE,Partidos!$C:$C,Partidos!$X$2,Partidos!$E:$E,B7)+COUNTIFS(Partidos!$AB:$AB,TRUE,Partidos!$C:$C,Partidos!$X$2,Partidos!$F:$F,B7)+COUNTIFS(Partidos!$AB:$AB,TRUE,Partidos!$C:$C,Partidos!$X$2,Partidos!$G:$G,B7))</f>
        <v>20</v>
      </c>
      <c r="D7" s="2">
        <f>IF(B7="","",COUNTIFS(Partidos!$AB:$AB,TRUE,Partidos!$C:$C,Partidos!$X$2,Partidos!$P:$P,"A",Partidos!$D:$D,B7)+COUNTIFS(Partidos!$AB:$AB,TRUE,Partidos!$C:$C,Partidos!$X$2,Partidos!$P:$P,"A",Partidos!$E:$E,B7)+COUNTIFS(Partidos!$AB:$AB,TRUE,Partidos!$C:$C,Partidos!$X$2,Partidos!$P:$P,"B",Partidos!$F:$F,B7)+COUNTIFS(Partidos!$AB:$AB,TRUE,Partidos!$C:$C,Partidos!$X$2,Partidos!$P:$P,"B",Partidos!$G:$G,B7))</f>
        <v>15</v>
      </c>
      <c r="E7" s="2">
        <f t="shared" si="1"/>
        <v>5</v>
      </c>
      <c r="F7" s="2">
        <f>IF(B7="","",SUMIFS(Partidos!$Q:$Q,Partidos!$AB:$AB,TRUE,Partidos!$C:$C,Partidos!$X$2,Partidos!$D:$D,B7)+SUMIFS(Partidos!$Q:$Q,Partidos!$AB:$AB,TRUE,Partidos!$C:$C,Partidos!$X$2,Partidos!$E:$E,B7)+SUMIFS(Partidos!$R:$R,Partidos!$AB:$AB,TRUE,Partidos!$C:$C,Partidos!$X$2,Partidos!$F:$F,B7)+SUMIFS(Partidos!$R:$R,Partidos!$AB:$AB,TRUE,Partidos!$C:$C,Partidos!$X$2,Partidos!$G:$G,B7))</f>
        <v>247</v>
      </c>
      <c r="G7" s="2">
        <f>IF(B7="","",SUMIFS(Partidos!$R:$R,Partidos!$AB:$AB,TRUE,Partidos!$C:$C,Partidos!$X$2,Partidos!$D:$D,B7)+SUMIFS(Partidos!$R:$R,Partidos!$AB:$AB,TRUE,Partidos!$C:$C,Partidos!$X$2,Partidos!$E:$E,B7)+SUMIFS(Partidos!$Q:$Q,Partidos!$AB:$AB,TRUE,Partidos!$C:$C,Partidos!$X$2,Partidos!$F:$F,B7)+SUMIFS(Partidos!$Q:$Q,Partidos!$AB:$AB,TRUE,Partidos!$C:$C,Partidos!$X$2,Partidos!$G:$G,B7))</f>
        <v>211</v>
      </c>
      <c r="H7" s="2">
        <f t="shared" si="2"/>
        <v>36</v>
      </c>
      <c r="I7" s="10">
        <f>IF(B7="","",SUMIFS(Partidos!$T:$T,Partidos!$AB:$AB,TRUE,Partidos!$C:$C,Partidos!$X$2,Partidos!$D:$D,B7)+SUMIFS(Partidos!$T:$T,Partidos!$AB:$AB,TRUE,Partidos!$C:$C,Partidos!$X$2,Partidos!$E:$E,B7)+SUMIFS(Partidos!$U:$U,Partidos!$AB:$AB,TRUE,Partidos!$C:$C,Partidos!$X$2,Partidos!$F:$F,B7)+SUMIFS(Partidos!$U:$U,Partidos!$AB:$AB,TRUE,Partidos!$C:$C,Partidos!$X$2,Partidos!$G:$G,B7))</f>
        <v>1.34</v>
      </c>
      <c r="J7" s="10">
        <f>IF(B7="","",D7*Partidos!$X$3 + E7*Partidos!$X$4 + I7)</f>
        <v>31.34</v>
      </c>
    </row>
    <row r="8" spans="1:13" x14ac:dyDescent="0.3">
      <c r="A8" s="2">
        <f t="shared" si="0"/>
        <v>5</v>
      </c>
      <c r="B8" s="6" t="str">
        <f>Ranking!B6</f>
        <v>Imobach González</v>
      </c>
      <c r="C8" s="2">
        <f>IF(B8="","",COUNTIFS(Partidos!$AB:$AB,TRUE,Partidos!$C:$C,Partidos!$X$2,Partidos!$D:$D,B8)+COUNTIFS(Partidos!$AB:$AB,TRUE,Partidos!$C:$C,Partidos!$X$2,Partidos!$E:$E,B8)+COUNTIFS(Partidos!$AB:$AB,TRUE,Partidos!$C:$C,Partidos!$X$2,Partidos!$F:$F,B8)+COUNTIFS(Partidos!$AB:$AB,TRUE,Partidos!$C:$C,Partidos!$X$2,Partidos!$G:$G,B8))</f>
        <v>26</v>
      </c>
      <c r="D8" s="2">
        <f>IF(B8="","",COUNTIFS(Partidos!$AB:$AB,TRUE,Partidos!$C:$C,Partidos!$X$2,Partidos!$P:$P,"A",Partidos!$D:$D,B8)+COUNTIFS(Partidos!$AB:$AB,TRUE,Partidos!$C:$C,Partidos!$X$2,Partidos!$P:$P,"A",Partidos!$E:$E,B8)+COUNTIFS(Partidos!$AB:$AB,TRUE,Partidos!$C:$C,Partidos!$X$2,Partidos!$P:$P,"B",Partidos!$F:$F,B8)+COUNTIFS(Partidos!$AB:$AB,TRUE,Partidos!$C:$C,Partidos!$X$2,Partidos!$P:$P,"B",Partidos!$G:$G,B8))</f>
        <v>14</v>
      </c>
      <c r="E8" s="2">
        <f t="shared" si="1"/>
        <v>12</v>
      </c>
      <c r="F8" s="2">
        <f>IF(B8="","",SUMIFS(Partidos!$Q:$Q,Partidos!$AB:$AB,TRUE,Partidos!$C:$C,Partidos!$X$2,Partidos!$D:$D,B8)+SUMIFS(Partidos!$Q:$Q,Partidos!$AB:$AB,TRUE,Partidos!$C:$C,Partidos!$X$2,Partidos!$E:$E,B8)+SUMIFS(Partidos!$R:$R,Partidos!$AB:$AB,TRUE,Partidos!$C:$C,Partidos!$X$2,Partidos!$F:$F,B8)+SUMIFS(Partidos!$R:$R,Partidos!$AB:$AB,TRUE,Partidos!$C:$C,Partidos!$X$2,Partidos!$G:$G,B8))</f>
        <v>293</v>
      </c>
      <c r="G8" s="2">
        <f>IF(B8="","",SUMIFS(Partidos!$R:$R,Partidos!$AB:$AB,TRUE,Partidos!$C:$C,Partidos!$X$2,Partidos!$D:$D,B8)+SUMIFS(Partidos!$R:$R,Partidos!$AB:$AB,TRUE,Partidos!$C:$C,Partidos!$X$2,Partidos!$E:$E,B8)+SUMIFS(Partidos!$Q:$Q,Partidos!$AB:$AB,TRUE,Partidos!$C:$C,Partidos!$X$2,Partidos!$F:$F,B8)+SUMIFS(Partidos!$Q:$Q,Partidos!$AB:$AB,TRUE,Partidos!$C:$C,Partidos!$X$2,Partidos!$G:$G,B8))</f>
        <v>270</v>
      </c>
      <c r="H8" s="2">
        <f t="shared" si="2"/>
        <v>23</v>
      </c>
      <c r="I8" s="10">
        <f>IF(B8="","",SUMIFS(Partidos!$T:$T,Partidos!$AB:$AB,TRUE,Partidos!$C:$C,Partidos!$X$2,Partidos!$D:$D,B8)+SUMIFS(Partidos!$T:$T,Partidos!$AB:$AB,TRUE,Partidos!$C:$C,Partidos!$X$2,Partidos!$E:$E,B8)+SUMIFS(Partidos!$U:$U,Partidos!$AB:$AB,TRUE,Partidos!$C:$C,Partidos!$X$2,Partidos!$F:$F,B8)+SUMIFS(Partidos!$U:$U,Partidos!$AB:$AB,TRUE,Partidos!$C:$C,Partidos!$X$2,Partidos!$G:$G,B8))</f>
        <v>1.7200000000000002</v>
      </c>
      <c r="J8" s="10">
        <f>IF(B8="","",D8*Partidos!$X$3 + E8*Partidos!$X$4 + I8)</f>
        <v>29.72</v>
      </c>
    </row>
    <row r="9" spans="1:13" x14ac:dyDescent="0.3">
      <c r="A9" s="2">
        <f t="shared" si="0"/>
        <v>6</v>
      </c>
      <c r="B9" s="6" t="str">
        <f>Ranking!B7</f>
        <v>Guillermo Medina</v>
      </c>
      <c r="C9" s="2">
        <f>IF(B9="","",COUNTIFS(Partidos!$AB:$AB,TRUE,Partidos!$C:$C,Partidos!$X$2,Partidos!$D:$D,B9)+COUNTIFS(Partidos!$AB:$AB,TRUE,Partidos!$C:$C,Partidos!$X$2,Partidos!$E:$E,B9)+COUNTIFS(Partidos!$AB:$AB,TRUE,Partidos!$C:$C,Partidos!$X$2,Partidos!$F:$F,B9)+COUNTIFS(Partidos!$AB:$AB,TRUE,Partidos!$C:$C,Partidos!$X$2,Partidos!$G:$G,B9))</f>
        <v>20</v>
      </c>
      <c r="D9" s="2">
        <f>IF(B9="","",COUNTIFS(Partidos!$AB:$AB,TRUE,Partidos!$C:$C,Partidos!$X$2,Partidos!$P:$P,"A",Partidos!$D:$D,B9)+COUNTIFS(Partidos!$AB:$AB,TRUE,Partidos!$C:$C,Partidos!$X$2,Partidos!$P:$P,"A",Partidos!$E:$E,B9)+COUNTIFS(Partidos!$AB:$AB,TRUE,Partidos!$C:$C,Partidos!$X$2,Partidos!$P:$P,"B",Partidos!$F:$F,B9)+COUNTIFS(Partidos!$AB:$AB,TRUE,Partidos!$C:$C,Partidos!$X$2,Partidos!$P:$P,"B",Partidos!$G:$G,B9))</f>
        <v>9</v>
      </c>
      <c r="E9" s="2">
        <f t="shared" si="1"/>
        <v>11</v>
      </c>
      <c r="F9" s="2">
        <f>IF(B9="","",SUMIFS(Partidos!$Q:$Q,Partidos!$AB:$AB,TRUE,Partidos!$C:$C,Partidos!$X$2,Partidos!$D:$D,B9)+SUMIFS(Partidos!$Q:$Q,Partidos!$AB:$AB,TRUE,Partidos!$C:$C,Partidos!$X$2,Partidos!$E:$E,B9)+SUMIFS(Partidos!$R:$R,Partidos!$AB:$AB,TRUE,Partidos!$C:$C,Partidos!$X$2,Partidos!$F:$F,B9)+SUMIFS(Partidos!$R:$R,Partidos!$AB:$AB,TRUE,Partidos!$C:$C,Partidos!$X$2,Partidos!$G:$G,B9))</f>
        <v>194</v>
      </c>
      <c r="G9" s="2">
        <f>IF(B9="","",SUMIFS(Partidos!$R:$R,Partidos!$AB:$AB,TRUE,Partidos!$C:$C,Partidos!$X$2,Partidos!$D:$D,B9)+SUMIFS(Partidos!$R:$R,Partidos!$AB:$AB,TRUE,Partidos!$C:$C,Partidos!$X$2,Partidos!$E:$E,B9)+SUMIFS(Partidos!$Q:$Q,Partidos!$AB:$AB,TRUE,Partidos!$C:$C,Partidos!$X$2,Partidos!$F:$F,B9)+SUMIFS(Partidos!$Q:$Q,Partidos!$AB:$AB,TRUE,Partidos!$C:$C,Partidos!$X$2,Partidos!$G:$G,B9))</f>
        <v>215</v>
      </c>
      <c r="H9" s="2">
        <f t="shared" si="2"/>
        <v>-21</v>
      </c>
      <c r="I9" s="10">
        <f>IF(B9="","",SUMIFS(Partidos!$T:$T,Partidos!$AB:$AB,TRUE,Partidos!$C:$C,Partidos!$X$2,Partidos!$D:$D,B9)+SUMIFS(Partidos!$T:$T,Partidos!$AB:$AB,TRUE,Partidos!$C:$C,Partidos!$X$2,Partidos!$E:$E,B9)+SUMIFS(Partidos!$U:$U,Partidos!$AB:$AB,TRUE,Partidos!$C:$C,Partidos!$X$2,Partidos!$F:$F,B9)+SUMIFS(Partidos!$U:$U,Partidos!$AB:$AB,TRUE,Partidos!$C:$C,Partidos!$X$2,Partidos!$G:$G,B9))</f>
        <v>1</v>
      </c>
      <c r="J9" s="10">
        <f>IF(B9="","",D9*Partidos!$X$3 + E9*Partidos!$X$4 + I9)</f>
        <v>19</v>
      </c>
    </row>
    <row r="10" spans="1:13" x14ac:dyDescent="0.3">
      <c r="A10" s="2">
        <f t="shared" si="0"/>
        <v>7</v>
      </c>
      <c r="B10" s="6" t="str">
        <f>Ranking!B8</f>
        <v>Nacho Navidad</v>
      </c>
      <c r="C10" s="2">
        <f>IF(B10="","",COUNTIFS(Partidos!$AB:$AB,TRUE,Partidos!$C:$C,Partidos!$X$2,Partidos!$D:$D,B10)+COUNTIFS(Partidos!$AB:$AB,TRUE,Partidos!$C:$C,Partidos!$X$2,Partidos!$E:$E,B10)+COUNTIFS(Partidos!$AB:$AB,TRUE,Partidos!$C:$C,Partidos!$X$2,Partidos!$F:$F,B10)+COUNTIFS(Partidos!$AB:$AB,TRUE,Partidos!$C:$C,Partidos!$X$2,Partidos!$G:$G,B10))</f>
        <v>25</v>
      </c>
      <c r="D10" s="2">
        <f>IF(B10="","",COUNTIFS(Partidos!$AB:$AB,TRUE,Partidos!$C:$C,Partidos!$X$2,Partidos!$P:$P,"A",Partidos!$D:$D,B10)+COUNTIFS(Partidos!$AB:$AB,TRUE,Partidos!$C:$C,Partidos!$X$2,Partidos!$P:$P,"A",Partidos!$E:$E,B10)+COUNTIFS(Partidos!$AB:$AB,TRUE,Partidos!$C:$C,Partidos!$X$2,Partidos!$P:$P,"B",Partidos!$F:$F,B10)+COUNTIFS(Partidos!$AB:$AB,TRUE,Partidos!$C:$C,Partidos!$X$2,Partidos!$P:$P,"B",Partidos!$G:$G,B10))</f>
        <v>8</v>
      </c>
      <c r="E10" s="2">
        <f t="shared" si="1"/>
        <v>17</v>
      </c>
      <c r="F10" s="2">
        <f>IF(B10="","",SUMIFS(Partidos!$Q:$Q,Partidos!$AB:$AB,TRUE,Partidos!$C:$C,Partidos!$X$2,Partidos!$D:$D,B10)+SUMIFS(Partidos!$Q:$Q,Partidos!$AB:$AB,TRUE,Partidos!$C:$C,Partidos!$X$2,Partidos!$E:$E,B10)+SUMIFS(Partidos!$R:$R,Partidos!$AB:$AB,TRUE,Partidos!$C:$C,Partidos!$X$2,Partidos!$F:$F,B10)+SUMIFS(Partidos!$R:$R,Partidos!$AB:$AB,TRUE,Partidos!$C:$C,Partidos!$X$2,Partidos!$G:$G,B10))</f>
        <v>239</v>
      </c>
      <c r="G10" s="2">
        <f>IF(B10="","",SUMIFS(Partidos!$R:$R,Partidos!$AB:$AB,TRUE,Partidos!$C:$C,Partidos!$X$2,Partidos!$D:$D,B10)+SUMIFS(Partidos!$R:$R,Partidos!$AB:$AB,TRUE,Partidos!$C:$C,Partidos!$X$2,Partidos!$E:$E,B10)+SUMIFS(Partidos!$Q:$Q,Partidos!$AB:$AB,TRUE,Partidos!$C:$C,Partidos!$X$2,Partidos!$F:$F,B10)+SUMIFS(Partidos!$Q:$Q,Partidos!$AB:$AB,TRUE,Partidos!$C:$C,Partidos!$X$2,Partidos!$G:$G,B10))</f>
        <v>288</v>
      </c>
      <c r="H10" s="2">
        <f t="shared" si="2"/>
        <v>-49</v>
      </c>
      <c r="I10" s="10">
        <f>IF(B10="","",SUMIFS(Partidos!$T:$T,Partidos!$AB:$AB,TRUE,Partidos!$C:$C,Partidos!$X$2,Partidos!$D:$D,B10)+SUMIFS(Partidos!$T:$T,Partidos!$AB:$AB,TRUE,Partidos!$C:$C,Partidos!$X$2,Partidos!$E:$E,B10)+SUMIFS(Partidos!$U:$U,Partidos!$AB:$AB,TRUE,Partidos!$C:$C,Partidos!$X$2,Partidos!$F:$F,B10)+SUMIFS(Partidos!$U:$U,Partidos!$AB:$AB,TRUE,Partidos!$C:$C,Partidos!$X$2,Partidos!$G:$G,B10))</f>
        <v>0.9</v>
      </c>
      <c r="J10" s="10">
        <f>IF(B10="","",D10*Partidos!$X$3 + E10*Partidos!$X$4 + I10)</f>
        <v>16.899999999999999</v>
      </c>
    </row>
    <row r="11" spans="1:13" x14ac:dyDescent="0.3">
      <c r="A11" s="2">
        <f t="shared" si="0"/>
        <v>8</v>
      </c>
      <c r="B11" s="6" t="str">
        <f>Ranking!B9</f>
        <v>Alberto Pulido</v>
      </c>
      <c r="C11" s="2">
        <f>IF(B11="","",COUNTIFS(Partidos!$AB:$AB,TRUE,Partidos!$C:$C,Partidos!$X$2,Partidos!$D:$D,B11)+COUNTIFS(Partidos!$AB:$AB,TRUE,Partidos!$C:$C,Partidos!$X$2,Partidos!$E:$E,B11)+COUNTIFS(Partidos!$AB:$AB,TRUE,Partidos!$C:$C,Partidos!$X$2,Partidos!$F:$F,B11)+COUNTIFS(Partidos!$AB:$AB,TRUE,Partidos!$C:$C,Partidos!$X$2,Partidos!$G:$G,B11))</f>
        <v>14</v>
      </c>
      <c r="D11" s="2">
        <f>IF(B11="","",COUNTIFS(Partidos!$AB:$AB,TRUE,Partidos!$C:$C,Partidos!$X$2,Partidos!$P:$P,"A",Partidos!$D:$D,B11)+COUNTIFS(Partidos!$AB:$AB,TRUE,Partidos!$C:$C,Partidos!$X$2,Partidos!$P:$P,"A",Partidos!$E:$E,B11)+COUNTIFS(Partidos!$AB:$AB,TRUE,Partidos!$C:$C,Partidos!$X$2,Partidos!$P:$P,"B",Partidos!$F:$F,B11)+COUNTIFS(Partidos!$AB:$AB,TRUE,Partidos!$C:$C,Partidos!$X$2,Partidos!$P:$P,"B",Partidos!$G:$G,B11))</f>
        <v>7</v>
      </c>
      <c r="E11" s="2">
        <f t="shared" si="1"/>
        <v>7</v>
      </c>
      <c r="F11" s="2">
        <f>IF(B11="","",SUMIFS(Partidos!$Q:$Q,Partidos!$AB:$AB,TRUE,Partidos!$C:$C,Partidos!$X$2,Partidos!$D:$D,B11)+SUMIFS(Partidos!$Q:$Q,Partidos!$AB:$AB,TRUE,Partidos!$C:$C,Partidos!$X$2,Partidos!$E:$E,B11)+SUMIFS(Partidos!$R:$R,Partidos!$AB:$AB,TRUE,Partidos!$C:$C,Partidos!$X$2,Partidos!$F:$F,B11)+SUMIFS(Partidos!$R:$R,Partidos!$AB:$AB,TRUE,Partidos!$C:$C,Partidos!$X$2,Partidos!$G:$G,B11))</f>
        <v>152</v>
      </c>
      <c r="G11" s="2">
        <f>IF(B11="","",SUMIFS(Partidos!$R:$R,Partidos!$AB:$AB,TRUE,Partidos!$C:$C,Partidos!$X$2,Partidos!$D:$D,B11)+SUMIFS(Partidos!$R:$R,Partidos!$AB:$AB,TRUE,Partidos!$C:$C,Partidos!$X$2,Partidos!$E:$E,B11)+SUMIFS(Partidos!$Q:$Q,Partidos!$AB:$AB,TRUE,Partidos!$C:$C,Partidos!$X$2,Partidos!$F:$F,B11)+SUMIFS(Partidos!$Q:$Q,Partidos!$AB:$AB,TRUE,Partidos!$C:$C,Partidos!$X$2,Partidos!$G:$G,B11))</f>
        <v>148</v>
      </c>
      <c r="H11" s="2">
        <f t="shared" si="2"/>
        <v>4</v>
      </c>
      <c r="I11" s="10">
        <f>IF(B11="","",SUMIFS(Partidos!$T:$T,Partidos!$AB:$AB,TRUE,Partidos!$C:$C,Partidos!$X$2,Partidos!$D:$D,B11)+SUMIFS(Partidos!$T:$T,Partidos!$AB:$AB,TRUE,Partidos!$C:$C,Partidos!$X$2,Partidos!$E:$E,B11)+SUMIFS(Partidos!$U:$U,Partidos!$AB:$AB,TRUE,Partidos!$C:$C,Partidos!$X$2,Partidos!$F:$F,B11)+SUMIFS(Partidos!$U:$U,Partidos!$AB:$AB,TRUE,Partidos!$C:$C,Partidos!$X$2,Partidos!$G:$G,B11))</f>
        <v>0.84000000000000008</v>
      </c>
      <c r="J11" s="10">
        <f>IF(B11="","",D11*Partidos!$X$3 + E11*Partidos!$X$4 + I11)</f>
        <v>14.84</v>
      </c>
    </row>
    <row r="12" spans="1:13" x14ac:dyDescent="0.3">
      <c r="A12" s="2">
        <f t="shared" si="0"/>
        <v>9</v>
      </c>
      <c r="B12" s="6" t="str">
        <f>Ranking!B10</f>
        <v>Eva Pulido</v>
      </c>
      <c r="C12" s="2">
        <f>IF(B12="","",COUNTIFS(Partidos!$AB:$AB,TRUE,Partidos!$C:$C,Partidos!$X$2,Partidos!$D:$D,B12)+COUNTIFS(Partidos!$AB:$AB,TRUE,Partidos!$C:$C,Partidos!$X$2,Partidos!$E:$E,B12)+COUNTIFS(Partidos!$AB:$AB,TRUE,Partidos!$C:$C,Partidos!$X$2,Partidos!$F:$F,B12)+COUNTIFS(Partidos!$AB:$AB,TRUE,Partidos!$C:$C,Partidos!$X$2,Partidos!$G:$G,B12))</f>
        <v>18</v>
      </c>
      <c r="D12" s="2">
        <f>IF(B12="","",COUNTIFS(Partidos!$AB:$AB,TRUE,Partidos!$C:$C,Partidos!$X$2,Partidos!$P:$P,"A",Partidos!$D:$D,B12)+COUNTIFS(Partidos!$AB:$AB,TRUE,Partidos!$C:$C,Partidos!$X$2,Partidos!$P:$P,"A",Partidos!$E:$E,B12)+COUNTIFS(Partidos!$AB:$AB,TRUE,Partidos!$C:$C,Partidos!$X$2,Partidos!$P:$P,"B",Partidos!$F:$F,B12)+COUNTIFS(Partidos!$AB:$AB,TRUE,Partidos!$C:$C,Partidos!$X$2,Partidos!$P:$P,"B",Partidos!$G:$G,B12))</f>
        <v>7</v>
      </c>
      <c r="E12" s="2">
        <f t="shared" si="1"/>
        <v>11</v>
      </c>
      <c r="F12" s="2">
        <f>IF(B12="","",SUMIFS(Partidos!$Q:$Q,Partidos!$AB:$AB,TRUE,Partidos!$C:$C,Partidos!$X$2,Partidos!$D:$D,B12)+SUMIFS(Partidos!$Q:$Q,Partidos!$AB:$AB,TRUE,Partidos!$C:$C,Partidos!$X$2,Partidos!$E:$E,B12)+SUMIFS(Partidos!$R:$R,Partidos!$AB:$AB,TRUE,Partidos!$C:$C,Partidos!$X$2,Partidos!$F:$F,B12)+SUMIFS(Partidos!$R:$R,Partidos!$AB:$AB,TRUE,Partidos!$C:$C,Partidos!$X$2,Partidos!$G:$G,B12))</f>
        <v>175</v>
      </c>
      <c r="G12" s="2">
        <f>IF(B12="","",SUMIFS(Partidos!$R:$R,Partidos!$AB:$AB,TRUE,Partidos!$C:$C,Partidos!$X$2,Partidos!$D:$D,B12)+SUMIFS(Partidos!$R:$R,Partidos!$AB:$AB,TRUE,Partidos!$C:$C,Partidos!$X$2,Partidos!$E:$E,B12)+SUMIFS(Partidos!$Q:$Q,Partidos!$AB:$AB,TRUE,Partidos!$C:$C,Partidos!$X$2,Partidos!$F:$F,B12)+SUMIFS(Partidos!$Q:$Q,Partidos!$AB:$AB,TRUE,Partidos!$C:$C,Partidos!$X$2,Partidos!$G:$G,B12))</f>
        <v>202</v>
      </c>
      <c r="H12" s="2">
        <f t="shared" si="2"/>
        <v>-27</v>
      </c>
      <c r="I12" s="10">
        <f>IF(B12="","",SUMIFS(Partidos!$T:$T,Partidos!$AB:$AB,TRUE,Partidos!$C:$C,Partidos!$X$2,Partidos!$D:$D,B12)+SUMIFS(Partidos!$T:$T,Partidos!$AB:$AB,TRUE,Partidos!$C:$C,Partidos!$X$2,Partidos!$E:$E,B12)+SUMIFS(Partidos!$U:$U,Partidos!$AB:$AB,TRUE,Partidos!$C:$C,Partidos!$X$2,Partidos!$F:$F,B12)+SUMIFS(Partidos!$U:$U,Partidos!$AB:$AB,TRUE,Partidos!$C:$C,Partidos!$X$2,Partidos!$G:$G,B12))</f>
        <v>0.72000000000000008</v>
      </c>
      <c r="J12" s="10">
        <f>IF(B12="","",D12*Partidos!$X$3 + E12*Partidos!$X$4 + I12)</f>
        <v>14.72</v>
      </c>
    </row>
    <row r="13" spans="1:13" x14ac:dyDescent="0.3">
      <c r="A13" s="2">
        <f t="shared" si="0"/>
        <v>10</v>
      </c>
      <c r="B13" s="6" t="str">
        <f>Ranking!B11</f>
        <v>Alberto Nunes</v>
      </c>
      <c r="C13" s="2">
        <f>IF(B13="","",COUNTIFS(Partidos!$AB:$AB,TRUE,Partidos!$C:$C,Partidos!$X$2,Partidos!$D:$D,B13)+COUNTIFS(Partidos!$AB:$AB,TRUE,Partidos!$C:$C,Partidos!$X$2,Partidos!$E:$E,B13)+COUNTIFS(Partidos!$AB:$AB,TRUE,Partidos!$C:$C,Partidos!$X$2,Partidos!$F:$F,B13)+COUNTIFS(Partidos!$AB:$AB,TRUE,Partidos!$C:$C,Partidos!$X$2,Partidos!$G:$G,B13))</f>
        <v>16</v>
      </c>
      <c r="D13" s="2">
        <f>IF(B13="","",COUNTIFS(Partidos!$AB:$AB,TRUE,Partidos!$C:$C,Partidos!$X$2,Partidos!$P:$P,"A",Partidos!$D:$D,B13)+COUNTIFS(Partidos!$AB:$AB,TRUE,Partidos!$C:$C,Partidos!$X$2,Partidos!$P:$P,"A",Partidos!$E:$E,B13)+COUNTIFS(Partidos!$AB:$AB,TRUE,Partidos!$C:$C,Partidos!$X$2,Partidos!$P:$P,"B",Partidos!$F:$F,B13)+COUNTIFS(Partidos!$AB:$AB,TRUE,Partidos!$C:$C,Partidos!$X$2,Partidos!$P:$P,"B",Partidos!$G:$G,B13))</f>
        <v>6</v>
      </c>
      <c r="E13" s="2">
        <f t="shared" si="1"/>
        <v>10</v>
      </c>
      <c r="F13" s="2">
        <f>IF(B13="","",SUMIFS(Partidos!$Q:$Q,Partidos!$AB:$AB,TRUE,Partidos!$C:$C,Partidos!$X$2,Partidos!$D:$D,B13)+SUMIFS(Partidos!$Q:$Q,Partidos!$AB:$AB,TRUE,Partidos!$C:$C,Partidos!$X$2,Partidos!$E:$E,B13)+SUMIFS(Partidos!$R:$R,Partidos!$AB:$AB,TRUE,Partidos!$C:$C,Partidos!$X$2,Partidos!$F:$F,B13)+SUMIFS(Partidos!$R:$R,Partidos!$AB:$AB,TRUE,Partidos!$C:$C,Partidos!$X$2,Partidos!$G:$G,B13))</f>
        <v>162</v>
      </c>
      <c r="G13" s="2">
        <f>IF(B13="","",SUMIFS(Partidos!$R:$R,Partidos!$AB:$AB,TRUE,Partidos!$C:$C,Partidos!$X$2,Partidos!$D:$D,B13)+SUMIFS(Partidos!$R:$R,Partidos!$AB:$AB,TRUE,Partidos!$C:$C,Partidos!$X$2,Partidos!$E:$E,B13)+SUMIFS(Partidos!$Q:$Q,Partidos!$AB:$AB,TRUE,Partidos!$C:$C,Partidos!$X$2,Partidos!$F:$F,B13)+SUMIFS(Partidos!$Q:$Q,Partidos!$AB:$AB,TRUE,Partidos!$C:$C,Partidos!$X$2,Partidos!$G:$G,B13))</f>
        <v>186</v>
      </c>
      <c r="H13" s="2">
        <f t="shared" si="2"/>
        <v>-24</v>
      </c>
      <c r="I13" s="10">
        <f>IF(B13="","",SUMIFS(Partidos!$T:$T,Partidos!$AB:$AB,TRUE,Partidos!$C:$C,Partidos!$X$2,Partidos!$D:$D,B13)+SUMIFS(Partidos!$T:$T,Partidos!$AB:$AB,TRUE,Partidos!$C:$C,Partidos!$X$2,Partidos!$E:$E,B13)+SUMIFS(Partidos!$U:$U,Partidos!$AB:$AB,TRUE,Partidos!$C:$C,Partidos!$X$2,Partidos!$F:$F,B13)+SUMIFS(Partidos!$U:$U,Partidos!$AB:$AB,TRUE,Partidos!$C:$C,Partidos!$X$2,Partidos!$G:$G,B13))</f>
        <v>0.72</v>
      </c>
      <c r="J13" s="10">
        <f>IF(B13="","",D13*Partidos!$X$3 + E13*Partidos!$X$4 + I13)</f>
        <v>12.72</v>
      </c>
    </row>
    <row r="14" spans="1:13" x14ac:dyDescent="0.3">
      <c r="A14" s="2">
        <f t="shared" si="0"/>
        <v>11</v>
      </c>
      <c r="B14" s="6" t="str">
        <f>Ranking!B12</f>
        <v>Yeray Armas</v>
      </c>
      <c r="C14" s="2">
        <f>IF(B14="","",COUNTIFS(Partidos!$AB:$AB,TRUE,Partidos!$C:$C,Partidos!$X$2,Partidos!$D:$D,B14)+COUNTIFS(Partidos!$AB:$AB,TRUE,Partidos!$C:$C,Partidos!$X$2,Partidos!$E:$E,B14)+COUNTIFS(Partidos!$AB:$AB,TRUE,Partidos!$C:$C,Partidos!$X$2,Partidos!$F:$F,B14)+COUNTIFS(Partidos!$AB:$AB,TRUE,Partidos!$C:$C,Partidos!$X$2,Partidos!$G:$G,B14))</f>
        <v>32</v>
      </c>
      <c r="D14" s="2">
        <f>IF(B14="","",COUNTIFS(Partidos!$AB:$AB,TRUE,Partidos!$C:$C,Partidos!$X$2,Partidos!$P:$P,"A",Partidos!$D:$D,B14)+COUNTIFS(Partidos!$AB:$AB,TRUE,Partidos!$C:$C,Partidos!$X$2,Partidos!$P:$P,"A",Partidos!$E:$E,B14)+COUNTIFS(Partidos!$AB:$AB,TRUE,Partidos!$C:$C,Partidos!$X$2,Partidos!$P:$P,"B",Partidos!$F:$F,B14)+COUNTIFS(Partidos!$AB:$AB,TRUE,Partidos!$C:$C,Partidos!$X$2,Partidos!$P:$P,"B",Partidos!$G:$G,B14))</f>
        <v>6</v>
      </c>
      <c r="E14" s="2">
        <f t="shared" si="1"/>
        <v>26</v>
      </c>
      <c r="F14" s="2">
        <f>IF(B14="","",SUMIFS(Partidos!$Q:$Q,Partidos!$AB:$AB,TRUE,Partidos!$C:$C,Partidos!$X$2,Partidos!$D:$D,B14)+SUMIFS(Partidos!$Q:$Q,Partidos!$AB:$AB,TRUE,Partidos!$C:$C,Partidos!$X$2,Partidos!$E:$E,B14)+SUMIFS(Partidos!$R:$R,Partidos!$AB:$AB,TRUE,Partidos!$C:$C,Partidos!$X$2,Partidos!$F:$F,B14)+SUMIFS(Partidos!$R:$R,Partidos!$AB:$AB,TRUE,Partidos!$C:$C,Partidos!$X$2,Partidos!$G:$G,B14))</f>
        <v>281</v>
      </c>
      <c r="G14" s="2">
        <f>IF(B14="","",SUMIFS(Partidos!$R:$R,Partidos!$AB:$AB,TRUE,Partidos!$C:$C,Partidos!$X$2,Partidos!$D:$D,B14)+SUMIFS(Partidos!$R:$R,Partidos!$AB:$AB,TRUE,Partidos!$C:$C,Partidos!$X$2,Partidos!$E:$E,B14)+SUMIFS(Partidos!$Q:$Q,Partidos!$AB:$AB,TRUE,Partidos!$C:$C,Partidos!$X$2,Partidos!$F:$F,B14)+SUMIFS(Partidos!$Q:$Q,Partidos!$AB:$AB,TRUE,Partidos!$C:$C,Partidos!$X$2,Partidos!$G:$G,B14))</f>
        <v>414</v>
      </c>
      <c r="H14" s="2">
        <f t="shared" si="2"/>
        <v>-133</v>
      </c>
      <c r="I14" s="10">
        <f>IF(B14="","",SUMIFS(Partidos!$T:$T,Partidos!$AB:$AB,TRUE,Partidos!$C:$C,Partidos!$X$2,Partidos!$D:$D,B14)+SUMIFS(Partidos!$T:$T,Partidos!$AB:$AB,TRUE,Partidos!$C:$C,Partidos!$X$2,Partidos!$E:$E,B14)+SUMIFS(Partidos!$U:$U,Partidos!$AB:$AB,TRUE,Partidos!$C:$C,Partidos!$X$2,Partidos!$F:$F,B14)+SUMIFS(Partidos!$U:$U,Partidos!$AB:$AB,TRUE,Partidos!$C:$C,Partidos!$X$2,Partidos!$G:$G,B14))</f>
        <v>0.42</v>
      </c>
      <c r="J14" s="10">
        <f>IF(B14="","",D14*Partidos!$X$3 + E14*Partidos!$X$4 + I14)</f>
        <v>12.42</v>
      </c>
    </row>
    <row r="15" spans="1:13" x14ac:dyDescent="0.3">
      <c r="A15" s="2">
        <f t="shared" si="0"/>
        <v>12</v>
      </c>
      <c r="B15" s="6" t="str">
        <f>Ranking!B13</f>
        <v>Cristo Marrero</v>
      </c>
      <c r="C15" s="2">
        <f>IF(B15="","",COUNTIFS(Partidos!$AB:$AB,TRUE,Partidos!$C:$C,Partidos!$X$2,Partidos!$D:$D,B15)+COUNTIFS(Partidos!$AB:$AB,TRUE,Partidos!$C:$C,Partidos!$X$2,Partidos!$E:$E,B15)+COUNTIFS(Partidos!$AB:$AB,TRUE,Partidos!$C:$C,Partidos!$X$2,Partidos!$F:$F,B15)+COUNTIFS(Partidos!$AB:$AB,TRUE,Partidos!$C:$C,Partidos!$X$2,Partidos!$G:$G,B15))</f>
        <v>11</v>
      </c>
      <c r="D15" s="2">
        <f>IF(B15="","",COUNTIFS(Partidos!$AB:$AB,TRUE,Partidos!$C:$C,Partidos!$X$2,Partidos!$P:$P,"A",Partidos!$D:$D,B15)+COUNTIFS(Partidos!$AB:$AB,TRUE,Partidos!$C:$C,Partidos!$X$2,Partidos!$P:$P,"A",Partidos!$E:$E,B15)+COUNTIFS(Partidos!$AB:$AB,TRUE,Partidos!$C:$C,Partidos!$X$2,Partidos!$P:$P,"B",Partidos!$F:$F,B15)+COUNTIFS(Partidos!$AB:$AB,TRUE,Partidos!$C:$C,Partidos!$X$2,Partidos!$P:$P,"B",Partidos!$G:$G,B15))</f>
        <v>5</v>
      </c>
      <c r="E15" s="2">
        <f t="shared" si="1"/>
        <v>6</v>
      </c>
      <c r="F15" s="2">
        <f>IF(B15="","",SUMIFS(Partidos!$Q:$Q,Partidos!$AB:$AB,TRUE,Partidos!$C:$C,Partidos!$X$2,Partidos!$D:$D,B15)+SUMIFS(Partidos!$Q:$Q,Partidos!$AB:$AB,TRUE,Partidos!$C:$C,Partidos!$X$2,Partidos!$E:$E,B15)+SUMIFS(Partidos!$R:$R,Partidos!$AB:$AB,TRUE,Partidos!$C:$C,Partidos!$X$2,Partidos!$F:$F,B15)+SUMIFS(Partidos!$R:$R,Partidos!$AB:$AB,TRUE,Partidos!$C:$C,Partidos!$X$2,Partidos!$G:$G,B15))</f>
        <v>106</v>
      </c>
      <c r="G15" s="2">
        <f>IF(B15="","",SUMIFS(Partidos!$R:$R,Partidos!$AB:$AB,TRUE,Partidos!$C:$C,Partidos!$X$2,Partidos!$D:$D,B15)+SUMIFS(Partidos!$R:$R,Partidos!$AB:$AB,TRUE,Partidos!$C:$C,Partidos!$X$2,Partidos!$E:$E,B15)+SUMIFS(Partidos!$Q:$Q,Partidos!$AB:$AB,TRUE,Partidos!$C:$C,Partidos!$X$2,Partidos!$F:$F,B15)+SUMIFS(Partidos!$Q:$Q,Partidos!$AB:$AB,TRUE,Partidos!$C:$C,Partidos!$X$2,Partidos!$G:$G,B15))</f>
        <v>105</v>
      </c>
      <c r="H15" s="2">
        <f t="shared" si="2"/>
        <v>1</v>
      </c>
      <c r="I15" s="10">
        <f>IF(B15="","",SUMIFS(Partidos!$T:$T,Partidos!$AB:$AB,TRUE,Partidos!$C:$C,Partidos!$X$2,Partidos!$D:$D,B15)+SUMIFS(Partidos!$T:$T,Partidos!$AB:$AB,TRUE,Partidos!$C:$C,Partidos!$X$2,Partidos!$E:$E,B15)+SUMIFS(Partidos!$U:$U,Partidos!$AB:$AB,TRUE,Partidos!$C:$C,Partidos!$X$2,Partidos!$F:$F,B15)+SUMIFS(Partidos!$U:$U,Partidos!$AB:$AB,TRUE,Partidos!$C:$C,Partidos!$X$2,Partidos!$G:$G,B15))</f>
        <v>0.66</v>
      </c>
      <c r="J15" s="10">
        <f>IF(B15="","",D15*Partidos!$X$3 + E15*Partidos!$X$4 + I15)</f>
        <v>10.66</v>
      </c>
    </row>
    <row r="16" spans="1:13" x14ac:dyDescent="0.3">
      <c r="A16" s="2">
        <f t="shared" si="0"/>
        <v>13</v>
      </c>
      <c r="B16" s="6" t="str">
        <f>Ranking!B14</f>
        <v>César Morales</v>
      </c>
      <c r="C16" s="2">
        <f>IF(B16="","",COUNTIFS(Partidos!$AB:$AB,TRUE,Partidos!$C:$C,Partidos!$X$2,Partidos!$D:$D,B16)+COUNTIFS(Partidos!$AB:$AB,TRUE,Partidos!$C:$C,Partidos!$X$2,Partidos!$E:$E,B16)+COUNTIFS(Partidos!$AB:$AB,TRUE,Partidos!$C:$C,Partidos!$X$2,Partidos!$F:$F,B16)+COUNTIFS(Partidos!$AB:$AB,TRUE,Partidos!$C:$C,Partidos!$X$2,Partidos!$G:$G,B16))</f>
        <v>6</v>
      </c>
      <c r="D16" s="2">
        <f>IF(B16="","",COUNTIFS(Partidos!$AB:$AB,TRUE,Partidos!$C:$C,Partidos!$X$2,Partidos!$P:$P,"A",Partidos!$D:$D,B16)+COUNTIFS(Partidos!$AB:$AB,TRUE,Partidos!$C:$C,Partidos!$X$2,Partidos!$P:$P,"A",Partidos!$E:$E,B16)+COUNTIFS(Partidos!$AB:$AB,TRUE,Partidos!$C:$C,Partidos!$X$2,Partidos!$P:$P,"B",Partidos!$F:$F,B16)+COUNTIFS(Partidos!$AB:$AB,TRUE,Partidos!$C:$C,Partidos!$X$2,Partidos!$P:$P,"B",Partidos!$G:$G,B16))</f>
        <v>4</v>
      </c>
      <c r="E16" s="2">
        <f t="shared" si="1"/>
        <v>2</v>
      </c>
      <c r="F16" s="2">
        <f>IF(B16="","",SUMIFS(Partidos!$Q:$Q,Partidos!$AB:$AB,TRUE,Partidos!$C:$C,Partidos!$X$2,Partidos!$D:$D,B16)+SUMIFS(Partidos!$Q:$Q,Partidos!$AB:$AB,TRUE,Partidos!$C:$C,Partidos!$X$2,Partidos!$E:$E,B16)+SUMIFS(Partidos!$R:$R,Partidos!$AB:$AB,TRUE,Partidos!$C:$C,Partidos!$X$2,Partidos!$F:$F,B16)+SUMIFS(Partidos!$R:$R,Partidos!$AB:$AB,TRUE,Partidos!$C:$C,Partidos!$X$2,Partidos!$G:$G,B16))</f>
        <v>64</v>
      </c>
      <c r="G16" s="2">
        <f>IF(B16="","",SUMIFS(Partidos!$R:$R,Partidos!$AB:$AB,TRUE,Partidos!$C:$C,Partidos!$X$2,Partidos!$D:$D,B16)+SUMIFS(Partidos!$R:$R,Partidos!$AB:$AB,TRUE,Partidos!$C:$C,Partidos!$X$2,Partidos!$E:$E,B16)+SUMIFS(Partidos!$Q:$Q,Partidos!$AB:$AB,TRUE,Partidos!$C:$C,Partidos!$X$2,Partidos!$F:$F,B16)+SUMIFS(Partidos!$Q:$Q,Partidos!$AB:$AB,TRUE,Partidos!$C:$C,Partidos!$X$2,Partidos!$G:$G,B16))</f>
        <v>44</v>
      </c>
      <c r="H16" s="2">
        <f t="shared" si="2"/>
        <v>20</v>
      </c>
      <c r="I16" s="10">
        <f>IF(B16="","",SUMIFS(Partidos!$T:$T,Partidos!$AB:$AB,TRUE,Partidos!$C:$C,Partidos!$X$2,Partidos!$D:$D,B16)+SUMIFS(Partidos!$T:$T,Partidos!$AB:$AB,TRUE,Partidos!$C:$C,Partidos!$X$2,Partidos!$E:$E,B16)+SUMIFS(Partidos!$U:$U,Partidos!$AB:$AB,TRUE,Partidos!$C:$C,Partidos!$X$2,Partidos!$F:$F,B16)+SUMIFS(Partidos!$U:$U,Partidos!$AB:$AB,TRUE,Partidos!$C:$C,Partidos!$X$2,Partidos!$G:$G,B16))</f>
        <v>0.60000000000000009</v>
      </c>
      <c r="J16" s="10">
        <f>IF(B16="","",D16*Partidos!$X$3 + E16*Partidos!$X$4 + I16)</f>
        <v>8.6</v>
      </c>
    </row>
    <row r="17" spans="1:10" x14ac:dyDescent="0.3">
      <c r="A17" s="2">
        <f t="shared" si="0"/>
        <v>14</v>
      </c>
      <c r="B17" s="6" t="str">
        <f>Ranking!B15</f>
        <v>José López</v>
      </c>
      <c r="C17" s="2">
        <f>IF(B17="","",COUNTIFS(Partidos!$AB:$AB,TRUE,Partidos!$C:$C,Partidos!$X$2,Partidos!$D:$D,B17)+COUNTIFS(Partidos!$AB:$AB,TRUE,Partidos!$C:$C,Partidos!$X$2,Partidos!$E:$E,B17)+COUNTIFS(Partidos!$AB:$AB,TRUE,Partidos!$C:$C,Partidos!$X$2,Partidos!$F:$F,B17)+COUNTIFS(Partidos!$AB:$AB,TRUE,Partidos!$C:$C,Partidos!$X$2,Partidos!$G:$G,B17))</f>
        <v>4</v>
      </c>
      <c r="D17" s="2">
        <f>IF(B17="","",COUNTIFS(Partidos!$AB:$AB,TRUE,Partidos!$C:$C,Partidos!$X$2,Partidos!$P:$P,"A",Partidos!$D:$D,B17)+COUNTIFS(Partidos!$AB:$AB,TRUE,Partidos!$C:$C,Partidos!$X$2,Partidos!$P:$P,"A",Partidos!$E:$E,B17)+COUNTIFS(Partidos!$AB:$AB,TRUE,Partidos!$C:$C,Partidos!$X$2,Partidos!$P:$P,"B",Partidos!$F:$F,B17)+COUNTIFS(Partidos!$AB:$AB,TRUE,Partidos!$C:$C,Partidos!$X$2,Partidos!$P:$P,"B",Partidos!$G:$G,B17))</f>
        <v>4</v>
      </c>
      <c r="E17" s="2">
        <f t="shared" si="1"/>
        <v>0</v>
      </c>
      <c r="F17" s="2">
        <f>IF(B17="","",SUMIFS(Partidos!$Q:$Q,Partidos!$AB:$AB,TRUE,Partidos!$C:$C,Partidos!$X$2,Partidos!$D:$D,B17)+SUMIFS(Partidos!$Q:$Q,Partidos!$AB:$AB,TRUE,Partidos!$C:$C,Partidos!$X$2,Partidos!$E:$E,B17)+SUMIFS(Partidos!$R:$R,Partidos!$AB:$AB,TRUE,Partidos!$C:$C,Partidos!$X$2,Partidos!$F:$F,B17)+SUMIFS(Partidos!$R:$R,Partidos!$AB:$AB,TRUE,Partidos!$C:$C,Partidos!$X$2,Partidos!$G:$G,B17))</f>
        <v>49</v>
      </c>
      <c r="G17" s="2">
        <f>IF(B17="","",SUMIFS(Partidos!$R:$R,Partidos!$AB:$AB,TRUE,Partidos!$C:$C,Partidos!$X$2,Partidos!$D:$D,B17)+SUMIFS(Partidos!$R:$R,Partidos!$AB:$AB,TRUE,Partidos!$C:$C,Partidos!$X$2,Partidos!$E:$E,B17)+SUMIFS(Partidos!$Q:$Q,Partidos!$AB:$AB,TRUE,Partidos!$C:$C,Partidos!$X$2,Partidos!$F:$F,B17)+SUMIFS(Partidos!$Q:$Q,Partidos!$AB:$AB,TRUE,Partidos!$C:$C,Partidos!$X$2,Partidos!$G:$G,B17))</f>
        <v>24</v>
      </c>
      <c r="H17" s="2">
        <f t="shared" si="2"/>
        <v>25</v>
      </c>
      <c r="I17" s="10">
        <f>IF(B17="","",SUMIFS(Partidos!$T:$T,Partidos!$AB:$AB,TRUE,Partidos!$C:$C,Partidos!$X$2,Partidos!$D:$D,B17)+SUMIFS(Partidos!$T:$T,Partidos!$AB:$AB,TRUE,Partidos!$C:$C,Partidos!$X$2,Partidos!$E:$E,B17)+SUMIFS(Partidos!$U:$U,Partidos!$AB:$AB,TRUE,Partidos!$C:$C,Partidos!$X$2,Partidos!$F:$F,B17)+SUMIFS(Partidos!$U:$U,Partidos!$AB:$AB,TRUE,Partidos!$C:$C,Partidos!$X$2,Partidos!$G:$G,B17))</f>
        <v>0.5</v>
      </c>
      <c r="J17" s="10">
        <f>IF(B17="","",D17*Partidos!$X$3 + E17*Partidos!$X$4 + I17)</f>
        <v>8.5</v>
      </c>
    </row>
    <row r="18" spans="1:10" x14ac:dyDescent="0.3">
      <c r="A18" s="2">
        <f t="shared" si="0"/>
        <v>15</v>
      </c>
      <c r="B18" s="6" t="str">
        <f>Ranking!B16</f>
        <v>Wilfredo Santana</v>
      </c>
      <c r="C18" s="2">
        <f>IF(B18="","",COUNTIFS(Partidos!$AB:$AB,TRUE,Partidos!$C:$C,Partidos!$X$2,Partidos!$D:$D,B18)+COUNTIFS(Partidos!$AB:$AB,TRUE,Partidos!$C:$C,Partidos!$X$2,Partidos!$E:$E,B18)+COUNTIFS(Partidos!$AB:$AB,TRUE,Partidos!$C:$C,Partidos!$X$2,Partidos!$F:$F,B18)+COUNTIFS(Partidos!$AB:$AB,TRUE,Partidos!$C:$C,Partidos!$X$2,Partidos!$G:$G,B18))</f>
        <v>6</v>
      </c>
      <c r="D18" s="2">
        <f>IF(B18="","",COUNTIFS(Partidos!$AB:$AB,TRUE,Partidos!$C:$C,Partidos!$X$2,Partidos!$P:$P,"A",Partidos!$D:$D,B18)+COUNTIFS(Partidos!$AB:$AB,TRUE,Partidos!$C:$C,Partidos!$X$2,Partidos!$P:$P,"A",Partidos!$E:$E,B18)+COUNTIFS(Partidos!$AB:$AB,TRUE,Partidos!$C:$C,Partidos!$X$2,Partidos!$P:$P,"B",Partidos!$F:$F,B18)+COUNTIFS(Partidos!$AB:$AB,TRUE,Partidos!$C:$C,Partidos!$X$2,Partidos!$P:$P,"B",Partidos!$G:$G,B18))</f>
        <v>1</v>
      </c>
      <c r="E18" s="2">
        <f t="shared" si="1"/>
        <v>5</v>
      </c>
      <c r="F18" s="2">
        <f>IF(B18="","",SUMIFS(Partidos!$Q:$Q,Partidos!$AB:$AB,TRUE,Partidos!$C:$C,Partidos!$X$2,Partidos!$D:$D,B18)+SUMIFS(Partidos!$Q:$Q,Partidos!$AB:$AB,TRUE,Partidos!$C:$C,Partidos!$X$2,Partidos!$E:$E,B18)+SUMIFS(Partidos!$R:$R,Partidos!$AB:$AB,TRUE,Partidos!$C:$C,Partidos!$X$2,Partidos!$F:$F,B18)+SUMIFS(Partidos!$R:$R,Partidos!$AB:$AB,TRUE,Partidos!$C:$C,Partidos!$X$2,Partidos!$G:$G,B18))</f>
        <v>54</v>
      </c>
      <c r="G18" s="2">
        <f>IF(B18="","",SUMIFS(Partidos!$R:$R,Partidos!$AB:$AB,TRUE,Partidos!$C:$C,Partidos!$X$2,Partidos!$D:$D,B18)+SUMIFS(Partidos!$R:$R,Partidos!$AB:$AB,TRUE,Partidos!$C:$C,Partidos!$X$2,Partidos!$E:$E,B18)+SUMIFS(Partidos!$Q:$Q,Partidos!$AB:$AB,TRUE,Partidos!$C:$C,Partidos!$X$2,Partidos!$F:$F,B18)+SUMIFS(Partidos!$Q:$Q,Partidos!$AB:$AB,TRUE,Partidos!$C:$C,Partidos!$X$2,Partidos!$G:$G,B18))</f>
        <v>73</v>
      </c>
      <c r="H18" s="2">
        <f t="shared" si="2"/>
        <v>-19</v>
      </c>
      <c r="I18" s="10">
        <f>IF(B18="","",SUMIFS(Partidos!$T:$T,Partidos!$AB:$AB,TRUE,Partidos!$C:$C,Partidos!$X$2,Partidos!$D:$D,B18)+SUMIFS(Partidos!$T:$T,Partidos!$AB:$AB,TRUE,Partidos!$C:$C,Partidos!$X$2,Partidos!$E:$E,B18)+SUMIFS(Partidos!$U:$U,Partidos!$AB:$AB,TRUE,Partidos!$C:$C,Partidos!$X$2,Partidos!$F:$F,B18)+SUMIFS(Partidos!$U:$U,Partidos!$AB:$AB,TRUE,Partidos!$C:$C,Partidos!$X$2,Partidos!$G:$G,B18))</f>
        <v>0.14000000000000001</v>
      </c>
      <c r="J18" s="10">
        <f>IF(B18="","",D18*Partidos!$X$3 + E18*Partidos!$X$4 + I18)</f>
        <v>2.14</v>
      </c>
    </row>
    <row r="19" spans="1:10" x14ac:dyDescent="0.3">
      <c r="A19" s="2">
        <f t="shared" si="0"/>
        <v>16</v>
      </c>
      <c r="B19" s="6" t="str">
        <f>Ranking!B17</f>
        <v>José Fernando</v>
      </c>
      <c r="C19" s="2">
        <f>IF(B19="","",COUNTIFS(Partidos!$AB:$AB,TRUE,Partidos!$C:$C,Partidos!$X$2,Partidos!$D:$D,B19)+COUNTIFS(Partidos!$AB:$AB,TRUE,Partidos!$C:$C,Partidos!$X$2,Partidos!$E:$E,B19)+COUNTIFS(Partidos!$AB:$AB,TRUE,Partidos!$C:$C,Partidos!$X$2,Partidos!$F:$F,B19)+COUNTIFS(Partidos!$AB:$AB,TRUE,Partidos!$C:$C,Partidos!$X$2,Partidos!$G:$G,B19))</f>
        <v>2</v>
      </c>
      <c r="D19" s="2">
        <f>IF(B19="","",COUNTIFS(Partidos!$AB:$AB,TRUE,Partidos!$C:$C,Partidos!$X$2,Partidos!$P:$P,"A",Partidos!$D:$D,B19)+COUNTIFS(Partidos!$AB:$AB,TRUE,Partidos!$C:$C,Partidos!$X$2,Partidos!$P:$P,"A",Partidos!$E:$E,B19)+COUNTIFS(Partidos!$AB:$AB,TRUE,Partidos!$C:$C,Partidos!$X$2,Partidos!$P:$P,"B",Partidos!$F:$F,B19)+COUNTIFS(Partidos!$AB:$AB,TRUE,Partidos!$C:$C,Partidos!$X$2,Partidos!$P:$P,"B",Partidos!$G:$G,B19))</f>
        <v>1</v>
      </c>
      <c r="E19" s="2">
        <f t="shared" si="1"/>
        <v>1</v>
      </c>
      <c r="F19" s="2">
        <f>IF(B19="","",SUMIFS(Partidos!$Q:$Q,Partidos!$AB:$AB,TRUE,Partidos!$C:$C,Partidos!$X$2,Partidos!$D:$D,B19)+SUMIFS(Partidos!$Q:$Q,Partidos!$AB:$AB,TRUE,Partidos!$C:$C,Partidos!$X$2,Partidos!$E:$E,B19)+SUMIFS(Partidos!$R:$R,Partidos!$AB:$AB,TRUE,Partidos!$C:$C,Partidos!$X$2,Partidos!$F:$F,B19)+SUMIFS(Partidos!$R:$R,Partidos!$AB:$AB,TRUE,Partidos!$C:$C,Partidos!$X$2,Partidos!$G:$G,B19))</f>
        <v>23</v>
      </c>
      <c r="G19" s="2">
        <f>IF(B19="","",SUMIFS(Partidos!$R:$R,Partidos!$AB:$AB,TRUE,Partidos!$C:$C,Partidos!$X$2,Partidos!$D:$D,B19)+SUMIFS(Partidos!$R:$R,Partidos!$AB:$AB,TRUE,Partidos!$C:$C,Partidos!$X$2,Partidos!$E:$E,B19)+SUMIFS(Partidos!$Q:$Q,Partidos!$AB:$AB,TRUE,Partidos!$C:$C,Partidos!$X$2,Partidos!$F:$F,B19)+SUMIFS(Partidos!$Q:$Q,Partidos!$AB:$AB,TRUE,Partidos!$C:$C,Partidos!$X$2,Partidos!$G:$G,B19))</f>
        <v>24</v>
      </c>
      <c r="H19" s="2">
        <f t="shared" si="2"/>
        <v>-1</v>
      </c>
      <c r="I19" s="10">
        <f>IF(B19="","",SUMIFS(Partidos!$T:$T,Partidos!$AB:$AB,TRUE,Partidos!$C:$C,Partidos!$X$2,Partidos!$D:$D,B19)+SUMIFS(Partidos!$T:$T,Partidos!$AB:$AB,TRUE,Partidos!$C:$C,Partidos!$X$2,Partidos!$E:$E,B19)+SUMIFS(Partidos!$U:$U,Partidos!$AB:$AB,TRUE,Partidos!$C:$C,Partidos!$X$2,Partidos!$F:$F,B19)+SUMIFS(Partidos!$U:$U,Partidos!$AB:$AB,TRUE,Partidos!$C:$C,Partidos!$X$2,Partidos!$G:$G,B19))</f>
        <v>0.08</v>
      </c>
      <c r="J19" s="10">
        <f>IF(B19="","",D19*Partidos!$X$3 + E19*Partidos!$X$4 + I19)</f>
        <v>2.08</v>
      </c>
    </row>
    <row r="20" spans="1:10" x14ac:dyDescent="0.3">
      <c r="A20" s="2" t="str">
        <f t="shared" si="0"/>
        <v/>
      </c>
      <c r="B20" s="6" t="str">
        <f>Ranking!B18</f>
        <v/>
      </c>
      <c r="C20" s="2" t="str">
        <f>IF(B20="","",COUNTIFS(Partidos!$AB:$AB,TRUE,Partidos!$C:$C,Partidos!$X$2,Partidos!$D:$D,B20)+COUNTIFS(Partidos!$AB:$AB,TRUE,Partidos!$C:$C,Partidos!$X$2,Partidos!$E:$E,B20)+COUNTIFS(Partidos!$AB:$AB,TRUE,Partidos!$C:$C,Partidos!$X$2,Partidos!$F:$F,B20)+COUNTIFS(Partidos!$AB:$AB,TRUE,Partidos!$C:$C,Partidos!$X$2,Partidos!$G:$G,B20))</f>
        <v/>
      </c>
      <c r="D20" s="2" t="str">
        <f>IF(B20="","",COUNTIFS(Partidos!$AB:$AB,TRUE,Partidos!$C:$C,Partidos!$X$2,Partidos!$P:$P,"A",Partidos!$D:$D,B20)+COUNTIFS(Partidos!$AB:$AB,TRUE,Partidos!$C:$C,Partidos!$X$2,Partidos!$P:$P,"A",Partidos!$E:$E,B20)+COUNTIFS(Partidos!$AB:$AB,TRUE,Partidos!$C:$C,Partidos!$X$2,Partidos!$P:$P,"B",Partidos!$F:$F,B20)+COUNTIFS(Partidos!$AB:$AB,TRUE,Partidos!$C:$C,Partidos!$X$2,Partidos!$P:$P,"B",Partidos!$G:$G,B20))</f>
        <v/>
      </c>
      <c r="E20" s="2" t="str">
        <f t="shared" si="1"/>
        <v/>
      </c>
      <c r="F20" s="2" t="str">
        <f>IF(B20="","",SUMIFS(Partidos!$Q:$Q,Partidos!$AB:$AB,TRUE,Partidos!$C:$C,Partidos!$X$2,Partidos!$D:$D,B20)+SUMIFS(Partidos!$Q:$Q,Partidos!$AB:$AB,TRUE,Partidos!$C:$C,Partidos!$X$2,Partidos!$E:$E,B20)+SUMIFS(Partidos!$R:$R,Partidos!$AB:$AB,TRUE,Partidos!$C:$C,Partidos!$X$2,Partidos!$F:$F,B20)+SUMIFS(Partidos!$R:$R,Partidos!$AB:$AB,TRUE,Partidos!$C:$C,Partidos!$X$2,Partidos!$G:$G,B20))</f>
        <v/>
      </c>
      <c r="G20" s="2" t="str">
        <f>IF(B20="","",SUMIFS(Partidos!$R:$R,Partidos!$AB:$AB,TRUE,Partidos!$C:$C,Partidos!$X$2,Partidos!$D:$D,B20)+SUMIFS(Partidos!$R:$R,Partidos!$AB:$AB,TRUE,Partidos!$C:$C,Partidos!$X$2,Partidos!$E:$E,B20)+SUMIFS(Partidos!$Q:$Q,Partidos!$AB:$AB,TRUE,Partidos!$C:$C,Partidos!$X$2,Partidos!$F:$F,B20)+SUMIFS(Partidos!$Q:$Q,Partidos!$AB:$AB,TRUE,Partidos!$C:$C,Partidos!$X$2,Partidos!$G:$G,B20))</f>
        <v/>
      </c>
      <c r="H20" s="2" t="str">
        <f t="shared" si="2"/>
        <v/>
      </c>
      <c r="I20" s="10" t="str">
        <f>IF(B20="","",SUMIFS(Partidos!$T:$T,Partidos!$AB:$AB,TRUE,Partidos!$C:$C,Partidos!$X$2,Partidos!$D:$D,B20)+SUMIFS(Partidos!$T:$T,Partidos!$AB:$AB,TRUE,Partidos!$C:$C,Partidos!$X$2,Partidos!$E:$E,B20)+SUMIFS(Partidos!$U:$U,Partidos!$AB:$AB,TRUE,Partidos!$C:$C,Partidos!$X$2,Partidos!$F:$F,B20)+SUMIFS(Partidos!$U:$U,Partidos!$AB:$AB,TRUE,Partidos!$C:$C,Partidos!$X$2,Partidos!$G:$G,B20))</f>
        <v/>
      </c>
      <c r="J20" s="10" t="str">
        <f>IF(B20="","",D20*Partidos!$X$3 + E20*Partidos!$X$4 + I20)</f>
        <v/>
      </c>
    </row>
    <row r="21" spans="1:10" x14ac:dyDescent="0.3">
      <c r="A21" s="2" t="str">
        <f t="shared" si="0"/>
        <v/>
      </c>
      <c r="B21" s="6" t="str">
        <f>Ranking!B19</f>
        <v/>
      </c>
      <c r="C21" s="2" t="str">
        <f>IF(B21="","",COUNTIFS(Partidos!$AB:$AB,TRUE,Partidos!$C:$C,Partidos!$X$2,Partidos!$D:$D,B21)+COUNTIFS(Partidos!$AB:$AB,TRUE,Partidos!$C:$C,Partidos!$X$2,Partidos!$E:$E,B21)+COUNTIFS(Partidos!$AB:$AB,TRUE,Partidos!$C:$C,Partidos!$X$2,Partidos!$F:$F,B21)+COUNTIFS(Partidos!$AB:$AB,TRUE,Partidos!$C:$C,Partidos!$X$2,Partidos!$G:$G,B21))</f>
        <v/>
      </c>
      <c r="D21" s="2" t="str">
        <f>IF(B21="","",COUNTIFS(Partidos!$AB:$AB,TRUE,Partidos!$C:$C,Partidos!$X$2,Partidos!$P:$P,"A",Partidos!$D:$D,B21)+COUNTIFS(Partidos!$AB:$AB,TRUE,Partidos!$C:$C,Partidos!$X$2,Partidos!$P:$P,"A",Partidos!$E:$E,B21)+COUNTIFS(Partidos!$AB:$AB,TRUE,Partidos!$C:$C,Partidos!$X$2,Partidos!$P:$P,"B",Partidos!$F:$F,B21)+COUNTIFS(Partidos!$AB:$AB,TRUE,Partidos!$C:$C,Partidos!$X$2,Partidos!$P:$P,"B",Partidos!$G:$G,B21))</f>
        <v/>
      </c>
      <c r="E21" s="2" t="str">
        <f t="shared" si="1"/>
        <v/>
      </c>
      <c r="F21" s="2" t="str">
        <f>IF(B21="","",SUMIFS(Partidos!$Q:$Q,Partidos!$AB:$AB,TRUE,Partidos!$C:$C,Partidos!$X$2,Partidos!$D:$D,B21)+SUMIFS(Partidos!$Q:$Q,Partidos!$AB:$AB,TRUE,Partidos!$C:$C,Partidos!$X$2,Partidos!$E:$E,B21)+SUMIFS(Partidos!$R:$R,Partidos!$AB:$AB,TRUE,Partidos!$C:$C,Partidos!$X$2,Partidos!$F:$F,B21)+SUMIFS(Partidos!$R:$R,Partidos!$AB:$AB,TRUE,Partidos!$C:$C,Partidos!$X$2,Partidos!$G:$G,B21))</f>
        <v/>
      </c>
      <c r="G21" s="2" t="str">
        <f>IF(B21="","",SUMIFS(Partidos!$R:$R,Partidos!$AB:$AB,TRUE,Partidos!$C:$C,Partidos!$X$2,Partidos!$D:$D,B21)+SUMIFS(Partidos!$R:$R,Partidos!$AB:$AB,TRUE,Partidos!$C:$C,Partidos!$X$2,Partidos!$E:$E,B21)+SUMIFS(Partidos!$Q:$Q,Partidos!$AB:$AB,TRUE,Partidos!$C:$C,Partidos!$X$2,Partidos!$F:$F,B21)+SUMIFS(Partidos!$Q:$Q,Partidos!$AB:$AB,TRUE,Partidos!$C:$C,Partidos!$X$2,Partidos!$G:$G,B21))</f>
        <v/>
      </c>
      <c r="H21" s="2" t="str">
        <f t="shared" si="2"/>
        <v/>
      </c>
      <c r="I21" s="10" t="str">
        <f>IF(B21="","",SUMIFS(Partidos!$T:$T,Partidos!$AB:$AB,TRUE,Partidos!$C:$C,Partidos!$X$2,Partidos!$D:$D,B21)+SUMIFS(Partidos!$T:$T,Partidos!$AB:$AB,TRUE,Partidos!$C:$C,Partidos!$X$2,Partidos!$E:$E,B21)+SUMIFS(Partidos!$U:$U,Partidos!$AB:$AB,TRUE,Partidos!$C:$C,Partidos!$X$2,Partidos!$F:$F,B21)+SUMIFS(Partidos!$U:$U,Partidos!$AB:$AB,TRUE,Partidos!$C:$C,Partidos!$X$2,Partidos!$G:$G,B21))</f>
        <v/>
      </c>
      <c r="J21" s="10" t="str">
        <f>IF(B21="","",D21*Partidos!$X$3 + E21*Partidos!$X$4 + I21)</f>
        <v/>
      </c>
    </row>
    <row r="22" spans="1:10" x14ac:dyDescent="0.3">
      <c r="A22" s="2" t="str">
        <f t="shared" si="0"/>
        <v/>
      </c>
      <c r="B22" s="6" t="str">
        <f>Ranking!B20</f>
        <v/>
      </c>
      <c r="C22" s="2" t="str">
        <f>IF(B22="","",COUNTIFS(Partidos!$AB:$AB,TRUE,Partidos!$C:$C,Partidos!$X$2,Partidos!$D:$D,B22)+COUNTIFS(Partidos!$AB:$AB,TRUE,Partidos!$C:$C,Partidos!$X$2,Partidos!$E:$E,B22)+COUNTIFS(Partidos!$AB:$AB,TRUE,Partidos!$C:$C,Partidos!$X$2,Partidos!$F:$F,B22)+COUNTIFS(Partidos!$AB:$AB,TRUE,Partidos!$C:$C,Partidos!$X$2,Partidos!$G:$G,B22))</f>
        <v/>
      </c>
      <c r="D22" s="2" t="str">
        <f>IF(B22="","",COUNTIFS(Partidos!$AB:$AB,TRUE,Partidos!$C:$C,Partidos!$X$2,Partidos!$P:$P,"A",Partidos!$D:$D,B22)+COUNTIFS(Partidos!$AB:$AB,TRUE,Partidos!$C:$C,Partidos!$X$2,Partidos!$P:$P,"A",Partidos!$E:$E,B22)+COUNTIFS(Partidos!$AB:$AB,TRUE,Partidos!$C:$C,Partidos!$X$2,Partidos!$P:$P,"B",Partidos!$F:$F,B22)+COUNTIFS(Partidos!$AB:$AB,TRUE,Partidos!$C:$C,Partidos!$X$2,Partidos!$P:$P,"B",Partidos!$G:$G,B22))</f>
        <v/>
      </c>
      <c r="E22" s="2" t="str">
        <f t="shared" si="1"/>
        <v/>
      </c>
      <c r="F22" s="2" t="str">
        <f>IF(B22="","",SUMIFS(Partidos!$Q:$Q,Partidos!$AB:$AB,TRUE,Partidos!$C:$C,Partidos!$X$2,Partidos!$D:$D,B22)+SUMIFS(Partidos!$Q:$Q,Partidos!$AB:$AB,TRUE,Partidos!$C:$C,Partidos!$X$2,Partidos!$E:$E,B22)+SUMIFS(Partidos!$R:$R,Partidos!$AB:$AB,TRUE,Partidos!$C:$C,Partidos!$X$2,Partidos!$F:$F,B22)+SUMIFS(Partidos!$R:$R,Partidos!$AB:$AB,TRUE,Partidos!$C:$C,Partidos!$X$2,Partidos!$G:$G,B22))</f>
        <v/>
      </c>
      <c r="G22" s="2" t="str">
        <f>IF(B22="","",SUMIFS(Partidos!$R:$R,Partidos!$AB:$AB,TRUE,Partidos!$C:$C,Partidos!$X$2,Partidos!$D:$D,B22)+SUMIFS(Partidos!$R:$R,Partidos!$AB:$AB,TRUE,Partidos!$C:$C,Partidos!$X$2,Partidos!$E:$E,B22)+SUMIFS(Partidos!$Q:$Q,Partidos!$AB:$AB,TRUE,Partidos!$C:$C,Partidos!$X$2,Partidos!$F:$F,B22)+SUMIFS(Partidos!$Q:$Q,Partidos!$AB:$AB,TRUE,Partidos!$C:$C,Partidos!$X$2,Partidos!$G:$G,B22))</f>
        <v/>
      </c>
      <c r="H22" s="2" t="str">
        <f t="shared" si="2"/>
        <v/>
      </c>
      <c r="I22" s="10" t="str">
        <f>IF(B22="","",SUMIFS(Partidos!$T:$T,Partidos!$AB:$AB,TRUE,Partidos!$C:$C,Partidos!$X$2,Partidos!$D:$D,B22)+SUMIFS(Partidos!$T:$T,Partidos!$AB:$AB,TRUE,Partidos!$C:$C,Partidos!$X$2,Partidos!$E:$E,B22)+SUMIFS(Partidos!$U:$U,Partidos!$AB:$AB,TRUE,Partidos!$C:$C,Partidos!$X$2,Partidos!$F:$F,B22)+SUMIFS(Partidos!$U:$U,Partidos!$AB:$AB,TRUE,Partidos!$C:$C,Partidos!$X$2,Partidos!$G:$G,B22))</f>
        <v/>
      </c>
      <c r="J22" s="10" t="str">
        <f>IF(B22="","",D22*Partidos!$X$3 + E22*Partidos!$X$4 + I22)</f>
        <v/>
      </c>
    </row>
    <row r="23" spans="1:10" x14ac:dyDescent="0.3">
      <c r="A23" s="2" t="str">
        <f t="shared" si="0"/>
        <v/>
      </c>
      <c r="B23" s="6" t="str">
        <f>Ranking!B21</f>
        <v/>
      </c>
      <c r="C23" s="2" t="str">
        <f>IF(B23="","",COUNTIFS(Partidos!$AB:$AB,TRUE,Partidos!$C:$C,Partidos!$X$2,Partidos!$D:$D,B23)+COUNTIFS(Partidos!$AB:$AB,TRUE,Partidos!$C:$C,Partidos!$X$2,Partidos!$E:$E,B23)+COUNTIFS(Partidos!$AB:$AB,TRUE,Partidos!$C:$C,Partidos!$X$2,Partidos!$F:$F,B23)+COUNTIFS(Partidos!$AB:$AB,TRUE,Partidos!$C:$C,Partidos!$X$2,Partidos!$G:$G,B23))</f>
        <v/>
      </c>
      <c r="D23" s="2" t="str">
        <f>IF(B23="","",COUNTIFS(Partidos!$AB:$AB,TRUE,Partidos!$C:$C,Partidos!$X$2,Partidos!$P:$P,"A",Partidos!$D:$D,B23)+COUNTIFS(Partidos!$AB:$AB,TRUE,Partidos!$C:$C,Partidos!$X$2,Partidos!$P:$P,"A",Partidos!$E:$E,B23)+COUNTIFS(Partidos!$AB:$AB,TRUE,Partidos!$C:$C,Partidos!$X$2,Partidos!$P:$P,"B",Partidos!$F:$F,B23)+COUNTIFS(Partidos!$AB:$AB,TRUE,Partidos!$C:$C,Partidos!$X$2,Partidos!$P:$P,"B",Partidos!$G:$G,B23))</f>
        <v/>
      </c>
      <c r="E23" s="2" t="str">
        <f t="shared" si="1"/>
        <v/>
      </c>
      <c r="F23" s="2" t="str">
        <f>IF(B23="","",SUMIFS(Partidos!$Q:$Q,Partidos!$AB:$AB,TRUE,Partidos!$C:$C,Partidos!$X$2,Partidos!$D:$D,B23)+SUMIFS(Partidos!$Q:$Q,Partidos!$AB:$AB,TRUE,Partidos!$C:$C,Partidos!$X$2,Partidos!$E:$E,B23)+SUMIFS(Partidos!$R:$R,Partidos!$AB:$AB,TRUE,Partidos!$C:$C,Partidos!$X$2,Partidos!$F:$F,B23)+SUMIFS(Partidos!$R:$R,Partidos!$AB:$AB,TRUE,Partidos!$C:$C,Partidos!$X$2,Partidos!$G:$G,B23))</f>
        <v/>
      </c>
      <c r="G23" s="2" t="str">
        <f>IF(B23="","",SUMIFS(Partidos!$R:$R,Partidos!$AB:$AB,TRUE,Partidos!$C:$C,Partidos!$X$2,Partidos!$D:$D,B23)+SUMIFS(Partidos!$R:$R,Partidos!$AB:$AB,TRUE,Partidos!$C:$C,Partidos!$X$2,Partidos!$E:$E,B23)+SUMIFS(Partidos!$Q:$Q,Partidos!$AB:$AB,TRUE,Partidos!$C:$C,Partidos!$X$2,Partidos!$F:$F,B23)+SUMIFS(Partidos!$Q:$Q,Partidos!$AB:$AB,TRUE,Partidos!$C:$C,Partidos!$X$2,Partidos!$G:$G,B23))</f>
        <v/>
      </c>
      <c r="H23" s="2" t="str">
        <f t="shared" si="2"/>
        <v/>
      </c>
      <c r="I23" s="10" t="str">
        <f>IF(B23="","",SUMIFS(Partidos!$T:$T,Partidos!$AB:$AB,TRUE,Partidos!$C:$C,Partidos!$X$2,Partidos!$D:$D,B23)+SUMIFS(Partidos!$T:$T,Partidos!$AB:$AB,TRUE,Partidos!$C:$C,Partidos!$X$2,Partidos!$E:$E,B23)+SUMIFS(Partidos!$U:$U,Partidos!$AB:$AB,TRUE,Partidos!$C:$C,Partidos!$X$2,Partidos!$F:$F,B23)+SUMIFS(Partidos!$U:$U,Partidos!$AB:$AB,TRUE,Partidos!$C:$C,Partidos!$X$2,Partidos!$G:$G,B23))</f>
        <v/>
      </c>
      <c r="J23" s="10" t="str">
        <f>IF(B23="","",D23*Partidos!$X$3 + E23*Partidos!$X$4 + I23)</f>
        <v/>
      </c>
    </row>
    <row r="24" spans="1:10" x14ac:dyDescent="0.3">
      <c r="A24" s="2" t="str">
        <f t="shared" si="0"/>
        <v/>
      </c>
      <c r="B24" s="6" t="str">
        <f>Ranking!B22</f>
        <v/>
      </c>
      <c r="C24" s="2" t="str">
        <f>IF(B24="","",COUNTIFS(Partidos!$AB:$AB,TRUE,Partidos!$C:$C,Partidos!$X$2,Partidos!$D:$D,B24)+COUNTIFS(Partidos!$AB:$AB,TRUE,Partidos!$C:$C,Partidos!$X$2,Partidos!$E:$E,B24)+COUNTIFS(Partidos!$AB:$AB,TRUE,Partidos!$C:$C,Partidos!$X$2,Partidos!$F:$F,B24)+COUNTIFS(Partidos!$AB:$AB,TRUE,Partidos!$C:$C,Partidos!$X$2,Partidos!$G:$G,B24))</f>
        <v/>
      </c>
      <c r="D24" s="2" t="str">
        <f>IF(B24="","",COUNTIFS(Partidos!$AB:$AB,TRUE,Partidos!$C:$C,Partidos!$X$2,Partidos!$P:$P,"A",Partidos!$D:$D,B24)+COUNTIFS(Partidos!$AB:$AB,TRUE,Partidos!$C:$C,Partidos!$X$2,Partidos!$P:$P,"A",Partidos!$E:$E,B24)+COUNTIFS(Partidos!$AB:$AB,TRUE,Partidos!$C:$C,Partidos!$X$2,Partidos!$P:$P,"B",Partidos!$F:$F,B24)+COUNTIFS(Partidos!$AB:$AB,TRUE,Partidos!$C:$C,Partidos!$X$2,Partidos!$P:$P,"B",Partidos!$G:$G,B24))</f>
        <v/>
      </c>
      <c r="E24" s="2" t="str">
        <f t="shared" si="1"/>
        <v/>
      </c>
      <c r="F24" s="2" t="str">
        <f>IF(B24="","",SUMIFS(Partidos!$Q:$Q,Partidos!$AB:$AB,TRUE,Partidos!$C:$C,Partidos!$X$2,Partidos!$D:$D,B24)+SUMIFS(Partidos!$Q:$Q,Partidos!$AB:$AB,TRUE,Partidos!$C:$C,Partidos!$X$2,Partidos!$E:$E,B24)+SUMIFS(Partidos!$R:$R,Partidos!$AB:$AB,TRUE,Partidos!$C:$C,Partidos!$X$2,Partidos!$F:$F,B24)+SUMIFS(Partidos!$R:$R,Partidos!$AB:$AB,TRUE,Partidos!$C:$C,Partidos!$X$2,Partidos!$G:$G,B24))</f>
        <v/>
      </c>
      <c r="G24" s="2" t="str">
        <f>IF(B24="","",SUMIFS(Partidos!$R:$R,Partidos!$AB:$AB,TRUE,Partidos!$C:$C,Partidos!$X$2,Partidos!$D:$D,B24)+SUMIFS(Partidos!$R:$R,Partidos!$AB:$AB,TRUE,Partidos!$C:$C,Partidos!$X$2,Partidos!$E:$E,B24)+SUMIFS(Partidos!$Q:$Q,Partidos!$AB:$AB,TRUE,Partidos!$C:$C,Partidos!$X$2,Partidos!$F:$F,B24)+SUMIFS(Partidos!$Q:$Q,Partidos!$AB:$AB,TRUE,Partidos!$C:$C,Partidos!$X$2,Partidos!$G:$G,B24))</f>
        <v/>
      </c>
      <c r="H24" s="2" t="str">
        <f t="shared" si="2"/>
        <v/>
      </c>
      <c r="I24" s="10" t="str">
        <f>IF(B24="","",SUMIFS(Partidos!$T:$T,Partidos!$AB:$AB,TRUE,Partidos!$C:$C,Partidos!$X$2,Partidos!$D:$D,B24)+SUMIFS(Partidos!$T:$T,Partidos!$AB:$AB,TRUE,Partidos!$C:$C,Partidos!$X$2,Partidos!$E:$E,B24)+SUMIFS(Partidos!$U:$U,Partidos!$AB:$AB,TRUE,Partidos!$C:$C,Partidos!$X$2,Partidos!$F:$F,B24)+SUMIFS(Partidos!$U:$U,Partidos!$AB:$AB,TRUE,Partidos!$C:$C,Partidos!$X$2,Partidos!$G:$G,B24))</f>
        <v/>
      </c>
      <c r="J24" s="10" t="str">
        <f>IF(B24="","",D24*Partidos!$X$3 + E24*Partidos!$X$4 + I24)</f>
        <v/>
      </c>
    </row>
    <row r="25" spans="1:10" x14ac:dyDescent="0.3">
      <c r="A25" s="2" t="str">
        <f t="shared" si="0"/>
        <v/>
      </c>
      <c r="B25" s="6" t="str">
        <f>Ranking!B23</f>
        <v/>
      </c>
      <c r="C25" s="2" t="str">
        <f>IF(B25="","",COUNTIFS(Partidos!$AB:$AB,TRUE,Partidos!$C:$C,Partidos!$X$2,Partidos!$D:$D,B25)+COUNTIFS(Partidos!$AB:$AB,TRUE,Partidos!$C:$C,Partidos!$X$2,Partidos!$E:$E,B25)+COUNTIFS(Partidos!$AB:$AB,TRUE,Partidos!$C:$C,Partidos!$X$2,Partidos!$F:$F,B25)+COUNTIFS(Partidos!$AB:$AB,TRUE,Partidos!$C:$C,Partidos!$X$2,Partidos!$G:$G,B25))</f>
        <v/>
      </c>
      <c r="D25" s="2" t="str">
        <f>IF(B25="","",COUNTIFS(Partidos!$AB:$AB,TRUE,Partidos!$C:$C,Partidos!$X$2,Partidos!$P:$P,"A",Partidos!$D:$D,B25)+COUNTIFS(Partidos!$AB:$AB,TRUE,Partidos!$C:$C,Partidos!$X$2,Partidos!$P:$P,"A",Partidos!$E:$E,B25)+COUNTIFS(Partidos!$AB:$AB,TRUE,Partidos!$C:$C,Partidos!$X$2,Partidos!$P:$P,"B",Partidos!$F:$F,B25)+COUNTIFS(Partidos!$AB:$AB,TRUE,Partidos!$C:$C,Partidos!$X$2,Partidos!$P:$P,"B",Partidos!$G:$G,B25))</f>
        <v/>
      </c>
      <c r="E25" s="2" t="str">
        <f t="shared" si="1"/>
        <v/>
      </c>
      <c r="F25" s="2" t="str">
        <f>IF(B25="","",SUMIFS(Partidos!$Q:$Q,Partidos!$AB:$AB,TRUE,Partidos!$C:$C,Partidos!$X$2,Partidos!$D:$D,B25)+SUMIFS(Partidos!$Q:$Q,Partidos!$AB:$AB,TRUE,Partidos!$C:$C,Partidos!$X$2,Partidos!$E:$E,B25)+SUMIFS(Partidos!$R:$R,Partidos!$AB:$AB,TRUE,Partidos!$C:$C,Partidos!$X$2,Partidos!$F:$F,B25)+SUMIFS(Partidos!$R:$R,Partidos!$AB:$AB,TRUE,Partidos!$C:$C,Partidos!$X$2,Partidos!$G:$G,B25))</f>
        <v/>
      </c>
      <c r="G25" s="2" t="str">
        <f>IF(B25="","",SUMIFS(Partidos!$R:$R,Partidos!$AB:$AB,TRUE,Partidos!$C:$C,Partidos!$X$2,Partidos!$D:$D,B25)+SUMIFS(Partidos!$R:$R,Partidos!$AB:$AB,TRUE,Partidos!$C:$C,Partidos!$X$2,Partidos!$E:$E,B25)+SUMIFS(Partidos!$Q:$Q,Partidos!$AB:$AB,TRUE,Partidos!$C:$C,Partidos!$X$2,Partidos!$F:$F,B25)+SUMIFS(Partidos!$Q:$Q,Partidos!$AB:$AB,TRUE,Partidos!$C:$C,Partidos!$X$2,Partidos!$G:$G,B25))</f>
        <v/>
      </c>
      <c r="H25" s="2" t="str">
        <f t="shared" si="2"/>
        <v/>
      </c>
      <c r="I25" s="10" t="str">
        <f>IF(B25="","",SUMIFS(Partidos!$T:$T,Partidos!$AB:$AB,TRUE,Partidos!$C:$C,Partidos!$X$2,Partidos!$D:$D,B25)+SUMIFS(Partidos!$T:$T,Partidos!$AB:$AB,TRUE,Partidos!$C:$C,Partidos!$X$2,Partidos!$E:$E,B25)+SUMIFS(Partidos!$U:$U,Partidos!$AB:$AB,TRUE,Partidos!$C:$C,Partidos!$X$2,Partidos!$F:$F,B25)+SUMIFS(Partidos!$U:$U,Partidos!$AB:$AB,TRUE,Partidos!$C:$C,Partidos!$X$2,Partidos!$G:$G,B25))</f>
        <v/>
      </c>
      <c r="J25" s="10" t="str">
        <f>IF(B25="","",D25*Partidos!$X$3 + E25*Partidos!$X$4 + I25)</f>
        <v/>
      </c>
    </row>
    <row r="26" spans="1:10" x14ac:dyDescent="0.3">
      <c r="A26" s="2" t="str">
        <f t="shared" si="0"/>
        <v/>
      </c>
      <c r="B26" s="6" t="str">
        <f>Ranking!B24</f>
        <v/>
      </c>
      <c r="C26" s="2" t="str">
        <f>IF(B26="","",COUNTIFS(Partidos!$AB:$AB,TRUE,Partidos!$C:$C,Partidos!$X$2,Partidos!$D:$D,B26)+COUNTIFS(Partidos!$AB:$AB,TRUE,Partidos!$C:$C,Partidos!$X$2,Partidos!$E:$E,B26)+COUNTIFS(Partidos!$AB:$AB,TRUE,Partidos!$C:$C,Partidos!$X$2,Partidos!$F:$F,B26)+COUNTIFS(Partidos!$AB:$AB,TRUE,Partidos!$C:$C,Partidos!$X$2,Partidos!$G:$G,B26))</f>
        <v/>
      </c>
      <c r="D26" s="2" t="str">
        <f>IF(B26="","",COUNTIFS(Partidos!$AB:$AB,TRUE,Partidos!$C:$C,Partidos!$X$2,Partidos!$P:$P,"A",Partidos!$D:$D,B26)+COUNTIFS(Partidos!$AB:$AB,TRUE,Partidos!$C:$C,Partidos!$X$2,Partidos!$P:$P,"A",Partidos!$E:$E,B26)+COUNTIFS(Partidos!$AB:$AB,TRUE,Partidos!$C:$C,Partidos!$X$2,Partidos!$P:$P,"B",Partidos!$F:$F,B26)+COUNTIFS(Partidos!$AB:$AB,TRUE,Partidos!$C:$C,Partidos!$X$2,Partidos!$P:$P,"B",Partidos!$G:$G,B26))</f>
        <v/>
      </c>
      <c r="E26" s="2" t="str">
        <f t="shared" si="1"/>
        <v/>
      </c>
      <c r="F26" s="2" t="str">
        <f>IF(B26="","",SUMIFS(Partidos!$Q:$Q,Partidos!$AB:$AB,TRUE,Partidos!$C:$C,Partidos!$X$2,Partidos!$D:$D,B26)+SUMIFS(Partidos!$Q:$Q,Partidos!$AB:$AB,TRUE,Partidos!$C:$C,Partidos!$X$2,Partidos!$E:$E,B26)+SUMIFS(Partidos!$R:$R,Partidos!$AB:$AB,TRUE,Partidos!$C:$C,Partidos!$X$2,Partidos!$F:$F,B26)+SUMIFS(Partidos!$R:$R,Partidos!$AB:$AB,TRUE,Partidos!$C:$C,Partidos!$X$2,Partidos!$G:$G,B26))</f>
        <v/>
      </c>
      <c r="G26" s="2" t="str">
        <f>IF(B26="","",SUMIFS(Partidos!$R:$R,Partidos!$AB:$AB,TRUE,Partidos!$C:$C,Partidos!$X$2,Partidos!$D:$D,B26)+SUMIFS(Partidos!$R:$R,Partidos!$AB:$AB,TRUE,Partidos!$C:$C,Partidos!$X$2,Partidos!$E:$E,B26)+SUMIFS(Partidos!$Q:$Q,Partidos!$AB:$AB,TRUE,Partidos!$C:$C,Partidos!$X$2,Partidos!$F:$F,B26)+SUMIFS(Partidos!$Q:$Q,Partidos!$AB:$AB,TRUE,Partidos!$C:$C,Partidos!$X$2,Partidos!$G:$G,B26))</f>
        <v/>
      </c>
      <c r="H26" s="2" t="str">
        <f t="shared" si="2"/>
        <v/>
      </c>
      <c r="I26" s="10" t="str">
        <f>IF(B26="","",SUMIFS(Partidos!$T:$T,Partidos!$AB:$AB,TRUE,Partidos!$C:$C,Partidos!$X$2,Partidos!$D:$D,B26)+SUMIFS(Partidos!$T:$T,Partidos!$AB:$AB,TRUE,Partidos!$C:$C,Partidos!$X$2,Partidos!$E:$E,B26)+SUMIFS(Partidos!$U:$U,Partidos!$AB:$AB,TRUE,Partidos!$C:$C,Partidos!$X$2,Partidos!$F:$F,B26)+SUMIFS(Partidos!$U:$U,Partidos!$AB:$AB,TRUE,Partidos!$C:$C,Partidos!$X$2,Partidos!$G:$G,B26))</f>
        <v/>
      </c>
      <c r="J26" s="10" t="str">
        <f>IF(B26="","",D26*Partidos!$X$3 + E26*Partidos!$X$4 + I26)</f>
        <v/>
      </c>
    </row>
    <row r="27" spans="1:10" x14ac:dyDescent="0.3">
      <c r="A27" s="2" t="str">
        <f t="shared" si="0"/>
        <v/>
      </c>
      <c r="B27" s="6" t="str">
        <f>Ranking!B25</f>
        <v/>
      </c>
      <c r="C27" s="2" t="str">
        <f>IF(B27="","",COUNTIFS(Partidos!$AB:$AB,TRUE,Partidos!$C:$C,Partidos!$X$2,Partidos!$D:$D,B27)+COUNTIFS(Partidos!$AB:$AB,TRUE,Partidos!$C:$C,Partidos!$X$2,Partidos!$E:$E,B27)+COUNTIFS(Partidos!$AB:$AB,TRUE,Partidos!$C:$C,Partidos!$X$2,Partidos!$F:$F,B27)+COUNTIFS(Partidos!$AB:$AB,TRUE,Partidos!$C:$C,Partidos!$X$2,Partidos!$G:$G,B27))</f>
        <v/>
      </c>
      <c r="D27" s="2" t="str">
        <f>IF(B27="","",COUNTIFS(Partidos!$AB:$AB,TRUE,Partidos!$C:$C,Partidos!$X$2,Partidos!$P:$P,"A",Partidos!$D:$D,B27)+COUNTIFS(Partidos!$AB:$AB,TRUE,Partidos!$C:$C,Partidos!$X$2,Partidos!$P:$P,"A",Partidos!$E:$E,B27)+COUNTIFS(Partidos!$AB:$AB,TRUE,Partidos!$C:$C,Partidos!$X$2,Partidos!$P:$P,"B",Partidos!$F:$F,B27)+COUNTIFS(Partidos!$AB:$AB,TRUE,Partidos!$C:$C,Partidos!$X$2,Partidos!$P:$P,"B",Partidos!$G:$G,B27))</f>
        <v/>
      </c>
      <c r="E27" s="2" t="str">
        <f t="shared" si="1"/>
        <v/>
      </c>
      <c r="F27" s="2" t="str">
        <f>IF(B27="","",SUMIFS(Partidos!$Q:$Q,Partidos!$AB:$AB,TRUE,Partidos!$C:$C,Partidos!$X$2,Partidos!$D:$D,B27)+SUMIFS(Partidos!$Q:$Q,Partidos!$AB:$AB,TRUE,Partidos!$C:$C,Partidos!$X$2,Partidos!$E:$E,B27)+SUMIFS(Partidos!$R:$R,Partidos!$AB:$AB,TRUE,Partidos!$C:$C,Partidos!$X$2,Partidos!$F:$F,B27)+SUMIFS(Partidos!$R:$R,Partidos!$AB:$AB,TRUE,Partidos!$C:$C,Partidos!$X$2,Partidos!$G:$G,B27))</f>
        <v/>
      </c>
      <c r="G27" s="2" t="str">
        <f>IF(B27="","",SUMIFS(Partidos!$R:$R,Partidos!$AB:$AB,TRUE,Partidos!$C:$C,Partidos!$X$2,Partidos!$D:$D,B27)+SUMIFS(Partidos!$R:$R,Partidos!$AB:$AB,TRUE,Partidos!$C:$C,Partidos!$X$2,Partidos!$E:$E,B27)+SUMIFS(Partidos!$Q:$Q,Partidos!$AB:$AB,TRUE,Partidos!$C:$C,Partidos!$X$2,Partidos!$F:$F,B27)+SUMIFS(Partidos!$Q:$Q,Partidos!$AB:$AB,TRUE,Partidos!$C:$C,Partidos!$X$2,Partidos!$G:$G,B27))</f>
        <v/>
      </c>
      <c r="H27" s="2" t="str">
        <f t="shared" si="2"/>
        <v/>
      </c>
      <c r="I27" s="10" t="str">
        <f>IF(B27="","",SUMIFS(Partidos!$T:$T,Partidos!$AB:$AB,TRUE,Partidos!$C:$C,Partidos!$X$2,Partidos!$D:$D,B27)+SUMIFS(Partidos!$T:$T,Partidos!$AB:$AB,TRUE,Partidos!$C:$C,Partidos!$X$2,Partidos!$E:$E,B27)+SUMIFS(Partidos!$U:$U,Partidos!$AB:$AB,TRUE,Partidos!$C:$C,Partidos!$X$2,Partidos!$F:$F,B27)+SUMIFS(Partidos!$U:$U,Partidos!$AB:$AB,TRUE,Partidos!$C:$C,Partidos!$X$2,Partidos!$G:$G,B27))</f>
        <v/>
      </c>
      <c r="J27" s="10" t="str">
        <f>IF(B27="","",D27*Partidos!$X$3 + E27*Partidos!$X$4 + I27)</f>
        <v/>
      </c>
    </row>
    <row r="28" spans="1:10" x14ac:dyDescent="0.3">
      <c r="A28" s="2" t="str">
        <f t="shared" si="0"/>
        <v/>
      </c>
      <c r="B28" s="6" t="str">
        <f>Ranking!B26</f>
        <v/>
      </c>
      <c r="C28" s="2" t="str">
        <f>IF(B28="","",COUNTIFS(Partidos!$AB:$AB,TRUE,Partidos!$C:$C,Partidos!$X$2,Partidos!$D:$D,B28)+COUNTIFS(Partidos!$AB:$AB,TRUE,Partidos!$C:$C,Partidos!$X$2,Partidos!$E:$E,B28)+COUNTIFS(Partidos!$AB:$AB,TRUE,Partidos!$C:$C,Partidos!$X$2,Partidos!$F:$F,B28)+COUNTIFS(Partidos!$AB:$AB,TRUE,Partidos!$C:$C,Partidos!$X$2,Partidos!$G:$G,B28))</f>
        <v/>
      </c>
      <c r="D28" s="2" t="str">
        <f>IF(B28="","",COUNTIFS(Partidos!$AB:$AB,TRUE,Partidos!$C:$C,Partidos!$X$2,Partidos!$P:$P,"A",Partidos!$D:$D,B28)+COUNTIFS(Partidos!$AB:$AB,TRUE,Partidos!$C:$C,Partidos!$X$2,Partidos!$P:$P,"A",Partidos!$E:$E,B28)+COUNTIFS(Partidos!$AB:$AB,TRUE,Partidos!$C:$C,Partidos!$X$2,Partidos!$P:$P,"B",Partidos!$F:$F,B28)+COUNTIFS(Partidos!$AB:$AB,TRUE,Partidos!$C:$C,Partidos!$X$2,Partidos!$P:$P,"B",Partidos!$G:$G,B28))</f>
        <v/>
      </c>
      <c r="E28" s="2" t="str">
        <f t="shared" si="1"/>
        <v/>
      </c>
      <c r="F28" s="2" t="str">
        <f>IF(B28="","",SUMIFS(Partidos!$Q:$Q,Partidos!$AB:$AB,TRUE,Partidos!$C:$C,Partidos!$X$2,Partidos!$D:$D,B28)+SUMIFS(Partidos!$Q:$Q,Partidos!$AB:$AB,TRUE,Partidos!$C:$C,Partidos!$X$2,Partidos!$E:$E,B28)+SUMIFS(Partidos!$R:$R,Partidos!$AB:$AB,TRUE,Partidos!$C:$C,Partidos!$X$2,Partidos!$F:$F,B28)+SUMIFS(Partidos!$R:$R,Partidos!$AB:$AB,TRUE,Partidos!$C:$C,Partidos!$X$2,Partidos!$G:$G,B28))</f>
        <v/>
      </c>
      <c r="G28" s="2" t="str">
        <f>IF(B28="","",SUMIFS(Partidos!$R:$R,Partidos!$AB:$AB,TRUE,Partidos!$C:$C,Partidos!$X$2,Partidos!$D:$D,B28)+SUMIFS(Partidos!$R:$R,Partidos!$AB:$AB,TRUE,Partidos!$C:$C,Partidos!$X$2,Partidos!$E:$E,B28)+SUMIFS(Partidos!$Q:$Q,Partidos!$AB:$AB,TRUE,Partidos!$C:$C,Partidos!$X$2,Partidos!$F:$F,B28)+SUMIFS(Partidos!$Q:$Q,Partidos!$AB:$AB,TRUE,Partidos!$C:$C,Partidos!$X$2,Partidos!$G:$G,B28))</f>
        <v/>
      </c>
      <c r="H28" s="2" t="str">
        <f t="shared" si="2"/>
        <v/>
      </c>
      <c r="I28" s="10" t="str">
        <f>IF(B28="","",SUMIFS(Partidos!$T:$T,Partidos!$AB:$AB,TRUE,Partidos!$C:$C,Partidos!$X$2,Partidos!$D:$D,B28)+SUMIFS(Partidos!$T:$T,Partidos!$AB:$AB,TRUE,Partidos!$C:$C,Partidos!$X$2,Partidos!$E:$E,B28)+SUMIFS(Partidos!$U:$U,Partidos!$AB:$AB,TRUE,Partidos!$C:$C,Partidos!$X$2,Partidos!$F:$F,B28)+SUMIFS(Partidos!$U:$U,Partidos!$AB:$AB,TRUE,Partidos!$C:$C,Partidos!$X$2,Partidos!$G:$G,B28))</f>
        <v/>
      </c>
      <c r="J28" s="10" t="str">
        <f>IF(B28="","",D28*Partidos!$X$3 + E28*Partidos!$X$4 + I28)</f>
        <v/>
      </c>
    </row>
    <row r="29" spans="1:10" x14ac:dyDescent="0.3">
      <c r="A29" s="2" t="str">
        <f t="shared" si="0"/>
        <v/>
      </c>
      <c r="B29" s="6" t="str">
        <f>Ranking!B27</f>
        <v/>
      </c>
      <c r="C29" s="2" t="str">
        <f>IF(B29="","",COUNTIFS(Partidos!$AB:$AB,TRUE,Partidos!$C:$C,Partidos!$X$2,Partidos!$D:$D,B29)+COUNTIFS(Partidos!$AB:$AB,TRUE,Partidos!$C:$C,Partidos!$X$2,Partidos!$E:$E,B29)+COUNTIFS(Partidos!$AB:$AB,TRUE,Partidos!$C:$C,Partidos!$X$2,Partidos!$F:$F,B29)+COUNTIFS(Partidos!$AB:$AB,TRUE,Partidos!$C:$C,Partidos!$X$2,Partidos!$G:$G,B29))</f>
        <v/>
      </c>
      <c r="D29" s="2" t="str">
        <f>IF(B29="","",COUNTIFS(Partidos!$AB:$AB,TRUE,Partidos!$C:$C,Partidos!$X$2,Partidos!$P:$P,"A",Partidos!$D:$D,B29)+COUNTIFS(Partidos!$AB:$AB,TRUE,Partidos!$C:$C,Partidos!$X$2,Partidos!$P:$P,"A",Partidos!$E:$E,B29)+COUNTIFS(Partidos!$AB:$AB,TRUE,Partidos!$C:$C,Partidos!$X$2,Partidos!$P:$P,"B",Partidos!$F:$F,B29)+COUNTIFS(Partidos!$AB:$AB,TRUE,Partidos!$C:$C,Partidos!$X$2,Partidos!$P:$P,"B",Partidos!$G:$G,B29))</f>
        <v/>
      </c>
      <c r="E29" s="2" t="str">
        <f t="shared" si="1"/>
        <v/>
      </c>
      <c r="F29" s="2" t="str">
        <f>IF(B29="","",SUMIFS(Partidos!$Q:$Q,Partidos!$AB:$AB,TRUE,Partidos!$C:$C,Partidos!$X$2,Partidos!$D:$D,B29)+SUMIFS(Partidos!$Q:$Q,Partidos!$AB:$AB,TRUE,Partidos!$C:$C,Partidos!$X$2,Partidos!$E:$E,B29)+SUMIFS(Partidos!$R:$R,Partidos!$AB:$AB,TRUE,Partidos!$C:$C,Partidos!$X$2,Partidos!$F:$F,B29)+SUMIFS(Partidos!$R:$R,Partidos!$AB:$AB,TRUE,Partidos!$C:$C,Partidos!$X$2,Partidos!$G:$G,B29))</f>
        <v/>
      </c>
      <c r="G29" s="2" t="str">
        <f>IF(B29="","",SUMIFS(Partidos!$R:$R,Partidos!$AB:$AB,TRUE,Partidos!$C:$C,Partidos!$X$2,Partidos!$D:$D,B29)+SUMIFS(Partidos!$R:$R,Partidos!$AB:$AB,TRUE,Partidos!$C:$C,Partidos!$X$2,Partidos!$E:$E,B29)+SUMIFS(Partidos!$Q:$Q,Partidos!$AB:$AB,TRUE,Partidos!$C:$C,Partidos!$X$2,Partidos!$F:$F,B29)+SUMIFS(Partidos!$Q:$Q,Partidos!$AB:$AB,TRUE,Partidos!$C:$C,Partidos!$X$2,Partidos!$G:$G,B29))</f>
        <v/>
      </c>
      <c r="H29" s="2" t="str">
        <f t="shared" si="2"/>
        <v/>
      </c>
      <c r="I29" s="10" t="str">
        <f>IF(B29="","",SUMIFS(Partidos!$T:$T,Partidos!$AB:$AB,TRUE,Partidos!$C:$C,Partidos!$X$2,Partidos!$D:$D,B29)+SUMIFS(Partidos!$T:$T,Partidos!$AB:$AB,TRUE,Partidos!$C:$C,Partidos!$X$2,Partidos!$E:$E,B29)+SUMIFS(Partidos!$U:$U,Partidos!$AB:$AB,TRUE,Partidos!$C:$C,Partidos!$X$2,Partidos!$F:$F,B29)+SUMIFS(Partidos!$U:$U,Partidos!$AB:$AB,TRUE,Partidos!$C:$C,Partidos!$X$2,Partidos!$G:$G,B29))</f>
        <v/>
      </c>
      <c r="J29" s="10" t="str">
        <f>IF(B29="","",D29*Partidos!$X$3 + E29*Partidos!$X$4 + I29)</f>
        <v/>
      </c>
    </row>
    <row r="30" spans="1:10" x14ac:dyDescent="0.3">
      <c r="A30" s="2" t="str">
        <f t="shared" si="0"/>
        <v/>
      </c>
      <c r="B30" s="6" t="str">
        <f>Ranking!B28</f>
        <v/>
      </c>
      <c r="C30" s="2" t="str">
        <f>IF(B30="","",COUNTIFS(Partidos!$AB:$AB,TRUE,Partidos!$C:$C,Partidos!$X$2,Partidos!$D:$D,B30)+COUNTIFS(Partidos!$AB:$AB,TRUE,Partidos!$C:$C,Partidos!$X$2,Partidos!$E:$E,B30)+COUNTIFS(Partidos!$AB:$AB,TRUE,Partidos!$C:$C,Partidos!$X$2,Partidos!$F:$F,B30)+COUNTIFS(Partidos!$AB:$AB,TRUE,Partidos!$C:$C,Partidos!$X$2,Partidos!$G:$G,B30))</f>
        <v/>
      </c>
      <c r="D30" s="2" t="str">
        <f>IF(B30="","",COUNTIFS(Partidos!$AB:$AB,TRUE,Partidos!$C:$C,Partidos!$X$2,Partidos!$P:$P,"A",Partidos!$D:$D,B30)+COUNTIFS(Partidos!$AB:$AB,TRUE,Partidos!$C:$C,Partidos!$X$2,Partidos!$P:$P,"A",Partidos!$E:$E,B30)+COUNTIFS(Partidos!$AB:$AB,TRUE,Partidos!$C:$C,Partidos!$X$2,Partidos!$P:$P,"B",Partidos!$F:$F,B30)+COUNTIFS(Partidos!$AB:$AB,TRUE,Partidos!$C:$C,Partidos!$X$2,Partidos!$P:$P,"B",Partidos!$G:$G,B30))</f>
        <v/>
      </c>
      <c r="E30" s="2" t="str">
        <f t="shared" si="1"/>
        <v/>
      </c>
      <c r="F30" s="2" t="str">
        <f>IF(B30="","",SUMIFS(Partidos!$Q:$Q,Partidos!$AB:$AB,TRUE,Partidos!$C:$C,Partidos!$X$2,Partidos!$D:$D,B30)+SUMIFS(Partidos!$Q:$Q,Partidos!$AB:$AB,TRUE,Partidos!$C:$C,Partidos!$X$2,Partidos!$E:$E,B30)+SUMIFS(Partidos!$R:$R,Partidos!$AB:$AB,TRUE,Partidos!$C:$C,Partidos!$X$2,Partidos!$F:$F,B30)+SUMIFS(Partidos!$R:$R,Partidos!$AB:$AB,TRUE,Partidos!$C:$C,Partidos!$X$2,Partidos!$G:$G,B30))</f>
        <v/>
      </c>
      <c r="G30" s="2" t="str">
        <f>IF(B30="","",SUMIFS(Partidos!$R:$R,Partidos!$AB:$AB,TRUE,Partidos!$C:$C,Partidos!$X$2,Partidos!$D:$D,B30)+SUMIFS(Partidos!$R:$R,Partidos!$AB:$AB,TRUE,Partidos!$C:$C,Partidos!$X$2,Partidos!$E:$E,B30)+SUMIFS(Partidos!$Q:$Q,Partidos!$AB:$AB,TRUE,Partidos!$C:$C,Partidos!$X$2,Partidos!$F:$F,B30)+SUMIFS(Partidos!$Q:$Q,Partidos!$AB:$AB,TRUE,Partidos!$C:$C,Partidos!$X$2,Partidos!$G:$G,B30))</f>
        <v/>
      </c>
      <c r="H30" s="2" t="str">
        <f t="shared" si="2"/>
        <v/>
      </c>
      <c r="I30" s="10" t="str">
        <f>IF(B30="","",SUMIFS(Partidos!$T:$T,Partidos!$AB:$AB,TRUE,Partidos!$C:$C,Partidos!$X$2,Partidos!$D:$D,B30)+SUMIFS(Partidos!$T:$T,Partidos!$AB:$AB,TRUE,Partidos!$C:$C,Partidos!$X$2,Partidos!$E:$E,B30)+SUMIFS(Partidos!$U:$U,Partidos!$AB:$AB,TRUE,Partidos!$C:$C,Partidos!$X$2,Partidos!$F:$F,B30)+SUMIFS(Partidos!$U:$U,Partidos!$AB:$AB,TRUE,Partidos!$C:$C,Partidos!$X$2,Partidos!$G:$G,B30))</f>
        <v/>
      </c>
      <c r="J30" s="10" t="str">
        <f>IF(B30="","",D30*Partidos!$X$3 + E30*Partidos!$X$4 + I30)</f>
        <v/>
      </c>
    </row>
    <row r="31" spans="1:10" x14ac:dyDescent="0.3">
      <c r="A31" s="2" t="str">
        <f t="shared" si="0"/>
        <v/>
      </c>
      <c r="B31" s="6" t="str">
        <f>Ranking!B29</f>
        <v/>
      </c>
      <c r="C31" s="2" t="str">
        <f>IF(B31="","",COUNTIFS(Partidos!$AB:$AB,TRUE,Partidos!$C:$C,Partidos!$X$2,Partidos!$D:$D,B31)+COUNTIFS(Partidos!$AB:$AB,TRUE,Partidos!$C:$C,Partidos!$X$2,Partidos!$E:$E,B31)+COUNTIFS(Partidos!$AB:$AB,TRUE,Partidos!$C:$C,Partidos!$X$2,Partidos!$F:$F,B31)+COUNTIFS(Partidos!$AB:$AB,TRUE,Partidos!$C:$C,Partidos!$X$2,Partidos!$G:$G,B31))</f>
        <v/>
      </c>
      <c r="D31" s="2" t="str">
        <f>IF(B31="","",COUNTIFS(Partidos!$AB:$AB,TRUE,Partidos!$C:$C,Partidos!$X$2,Partidos!$P:$P,"A",Partidos!$D:$D,B31)+COUNTIFS(Partidos!$AB:$AB,TRUE,Partidos!$C:$C,Partidos!$X$2,Partidos!$P:$P,"A",Partidos!$E:$E,B31)+COUNTIFS(Partidos!$AB:$AB,TRUE,Partidos!$C:$C,Partidos!$X$2,Partidos!$P:$P,"B",Partidos!$F:$F,B31)+COUNTIFS(Partidos!$AB:$AB,TRUE,Partidos!$C:$C,Partidos!$X$2,Partidos!$P:$P,"B",Partidos!$G:$G,B31))</f>
        <v/>
      </c>
      <c r="E31" s="2" t="str">
        <f t="shared" si="1"/>
        <v/>
      </c>
      <c r="F31" s="2" t="str">
        <f>IF(B31="","",SUMIFS(Partidos!$Q:$Q,Partidos!$AB:$AB,TRUE,Partidos!$C:$C,Partidos!$X$2,Partidos!$D:$D,B31)+SUMIFS(Partidos!$Q:$Q,Partidos!$AB:$AB,TRUE,Partidos!$C:$C,Partidos!$X$2,Partidos!$E:$E,B31)+SUMIFS(Partidos!$R:$R,Partidos!$AB:$AB,TRUE,Partidos!$C:$C,Partidos!$X$2,Partidos!$F:$F,B31)+SUMIFS(Partidos!$R:$R,Partidos!$AB:$AB,TRUE,Partidos!$C:$C,Partidos!$X$2,Partidos!$G:$G,B31))</f>
        <v/>
      </c>
      <c r="G31" s="2" t="str">
        <f>IF(B31="","",SUMIFS(Partidos!$R:$R,Partidos!$AB:$AB,TRUE,Partidos!$C:$C,Partidos!$X$2,Partidos!$D:$D,B31)+SUMIFS(Partidos!$R:$R,Partidos!$AB:$AB,TRUE,Partidos!$C:$C,Partidos!$X$2,Partidos!$E:$E,B31)+SUMIFS(Partidos!$Q:$Q,Partidos!$AB:$AB,TRUE,Partidos!$C:$C,Partidos!$X$2,Partidos!$F:$F,B31)+SUMIFS(Partidos!$Q:$Q,Partidos!$AB:$AB,TRUE,Partidos!$C:$C,Partidos!$X$2,Partidos!$G:$G,B31))</f>
        <v/>
      </c>
      <c r="H31" s="2" t="str">
        <f t="shared" si="2"/>
        <v/>
      </c>
      <c r="I31" s="10" t="str">
        <f>IF(B31="","",SUMIFS(Partidos!$T:$T,Partidos!$AB:$AB,TRUE,Partidos!$C:$C,Partidos!$X$2,Partidos!$D:$D,B31)+SUMIFS(Partidos!$T:$T,Partidos!$AB:$AB,TRUE,Partidos!$C:$C,Partidos!$X$2,Partidos!$E:$E,B31)+SUMIFS(Partidos!$U:$U,Partidos!$AB:$AB,TRUE,Partidos!$C:$C,Partidos!$X$2,Partidos!$F:$F,B31)+SUMIFS(Partidos!$U:$U,Partidos!$AB:$AB,TRUE,Partidos!$C:$C,Partidos!$X$2,Partidos!$G:$G,B31))</f>
        <v/>
      </c>
      <c r="J31" s="10" t="str">
        <f>IF(B31="","",D31*Partidos!$X$3 + E31*Partidos!$X$4 + I31)</f>
        <v/>
      </c>
    </row>
    <row r="32" spans="1:10" x14ac:dyDescent="0.3">
      <c r="A32" s="2" t="str">
        <f t="shared" si="0"/>
        <v/>
      </c>
      <c r="B32" s="6" t="str">
        <f>Ranking!B30</f>
        <v/>
      </c>
      <c r="C32" s="2" t="str">
        <f>IF(B32="","",COUNTIFS(Partidos!$AB:$AB,TRUE,Partidos!$C:$C,Partidos!$X$2,Partidos!$D:$D,B32)+COUNTIFS(Partidos!$AB:$AB,TRUE,Partidos!$C:$C,Partidos!$X$2,Partidos!$E:$E,B32)+COUNTIFS(Partidos!$AB:$AB,TRUE,Partidos!$C:$C,Partidos!$X$2,Partidos!$F:$F,B32)+COUNTIFS(Partidos!$AB:$AB,TRUE,Partidos!$C:$C,Partidos!$X$2,Partidos!$G:$G,B32))</f>
        <v/>
      </c>
      <c r="D32" s="2" t="str">
        <f>IF(B32="","",COUNTIFS(Partidos!$AB:$AB,TRUE,Partidos!$C:$C,Partidos!$X$2,Partidos!$P:$P,"A",Partidos!$D:$D,B32)+COUNTIFS(Partidos!$AB:$AB,TRUE,Partidos!$C:$C,Partidos!$X$2,Partidos!$P:$P,"A",Partidos!$E:$E,B32)+COUNTIFS(Partidos!$AB:$AB,TRUE,Partidos!$C:$C,Partidos!$X$2,Partidos!$P:$P,"B",Partidos!$F:$F,B32)+COUNTIFS(Partidos!$AB:$AB,TRUE,Partidos!$C:$C,Partidos!$X$2,Partidos!$P:$P,"B",Partidos!$G:$G,B32))</f>
        <v/>
      </c>
      <c r="E32" s="2" t="str">
        <f t="shared" si="1"/>
        <v/>
      </c>
      <c r="F32" s="2" t="str">
        <f>IF(B32="","",SUMIFS(Partidos!$Q:$Q,Partidos!$AB:$AB,TRUE,Partidos!$C:$C,Partidos!$X$2,Partidos!$D:$D,B32)+SUMIFS(Partidos!$Q:$Q,Partidos!$AB:$AB,TRUE,Partidos!$C:$C,Partidos!$X$2,Partidos!$E:$E,B32)+SUMIFS(Partidos!$R:$R,Partidos!$AB:$AB,TRUE,Partidos!$C:$C,Partidos!$X$2,Partidos!$F:$F,B32)+SUMIFS(Partidos!$R:$R,Partidos!$AB:$AB,TRUE,Partidos!$C:$C,Partidos!$X$2,Partidos!$G:$G,B32))</f>
        <v/>
      </c>
      <c r="G32" s="2" t="str">
        <f>IF(B32="","",SUMIFS(Partidos!$R:$R,Partidos!$AB:$AB,TRUE,Partidos!$C:$C,Partidos!$X$2,Partidos!$D:$D,B32)+SUMIFS(Partidos!$R:$R,Partidos!$AB:$AB,TRUE,Partidos!$C:$C,Partidos!$X$2,Partidos!$E:$E,B32)+SUMIFS(Partidos!$Q:$Q,Partidos!$AB:$AB,TRUE,Partidos!$C:$C,Partidos!$X$2,Partidos!$F:$F,B32)+SUMIFS(Partidos!$Q:$Q,Partidos!$AB:$AB,TRUE,Partidos!$C:$C,Partidos!$X$2,Partidos!$G:$G,B32))</f>
        <v/>
      </c>
      <c r="H32" s="2" t="str">
        <f t="shared" si="2"/>
        <v/>
      </c>
      <c r="I32" s="10" t="str">
        <f>IF(B32="","",SUMIFS(Partidos!$T:$T,Partidos!$AB:$AB,TRUE,Partidos!$C:$C,Partidos!$X$2,Partidos!$D:$D,B32)+SUMIFS(Partidos!$T:$T,Partidos!$AB:$AB,TRUE,Partidos!$C:$C,Partidos!$X$2,Partidos!$E:$E,B32)+SUMIFS(Partidos!$U:$U,Partidos!$AB:$AB,TRUE,Partidos!$C:$C,Partidos!$X$2,Partidos!$F:$F,B32)+SUMIFS(Partidos!$U:$U,Partidos!$AB:$AB,TRUE,Partidos!$C:$C,Partidos!$X$2,Partidos!$G:$G,B32))</f>
        <v/>
      </c>
      <c r="J32" s="10" t="str">
        <f>IF(B32="","",D32*Partidos!$X$3 + E32*Partidos!$X$4 + I32)</f>
        <v/>
      </c>
    </row>
    <row r="33" spans="1:10" x14ac:dyDescent="0.3">
      <c r="A33" s="2" t="str">
        <f t="shared" si="0"/>
        <v/>
      </c>
      <c r="B33" s="6" t="str">
        <f>Ranking!B31</f>
        <v/>
      </c>
      <c r="C33" s="2" t="str">
        <f>IF(B33="","",COUNTIFS(Partidos!$AB:$AB,TRUE,Partidos!$C:$C,Partidos!$X$2,Partidos!$D:$D,B33)+COUNTIFS(Partidos!$AB:$AB,TRUE,Partidos!$C:$C,Partidos!$X$2,Partidos!$E:$E,B33)+COUNTIFS(Partidos!$AB:$AB,TRUE,Partidos!$C:$C,Partidos!$X$2,Partidos!$F:$F,B33)+COUNTIFS(Partidos!$AB:$AB,TRUE,Partidos!$C:$C,Partidos!$X$2,Partidos!$G:$G,B33))</f>
        <v/>
      </c>
      <c r="D33" s="2" t="str">
        <f>IF(B33="","",COUNTIFS(Partidos!$AB:$AB,TRUE,Partidos!$C:$C,Partidos!$X$2,Partidos!$P:$P,"A",Partidos!$D:$D,B33)+COUNTIFS(Partidos!$AB:$AB,TRUE,Partidos!$C:$C,Partidos!$X$2,Partidos!$P:$P,"A",Partidos!$E:$E,B33)+COUNTIFS(Partidos!$AB:$AB,TRUE,Partidos!$C:$C,Partidos!$X$2,Partidos!$P:$P,"B",Partidos!$F:$F,B33)+COUNTIFS(Partidos!$AB:$AB,TRUE,Partidos!$C:$C,Partidos!$X$2,Partidos!$P:$P,"B",Partidos!$G:$G,B33))</f>
        <v/>
      </c>
      <c r="E33" s="2" t="str">
        <f t="shared" si="1"/>
        <v/>
      </c>
      <c r="F33" s="2" t="str">
        <f>IF(B33="","",SUMIFS(Partidos!$Q:$Q,Partidos!$AB:$AB,TRUE,Partidos!$C:$C,Partidos!$X$2,Partidos!$D:$D,B33)+SUMIFS(Partidos!$Q:$Q,Partidos!$AB:$AB,TRUE,Partidos!$C:$C,Partidos!$X$2,Partidos!$E:$E,B33)+SUMIFS(Partidos!$R:$R,Partidos!$AB:$AB,TRUE,Partidos!$C:$C,Partidos!$X$2,Partidos!$F:$F,B33)+SUMIFS(Partidos!$R:$R,Partidos!$AB:$AB,TRUE,Partidos!$C:$C,Partidos!$X$2,Partidos!$G:$G,B33))</f>
        <v/>
      </c>
      <c r="G33" s="2" t="str">
        <f>IF(B33="","",SUMIFS(Partidos!$R:$R,Partidos!$AB:$AB,TRUE,Partidos!$C:$C,Partidos!$X$2,Partidos!$D:$D,B33)+SUMIFS(Partidos!$R:$R,Partidos!$AB:$AB,TRUE,Partidos!$C:$C,Partidos!$X$2,Partidos!$E:$E,B33)+SUMIFS(Partidos!$Q:$Q,Partidos!$AB:$AB,TRUE,Partidos!$C:$C,Partidos!$X$2,Partidos!$F:$F,B33)+SUMIFS(Partidos!$Q:$Q,Partidos!$AB:$AB,TRUE,Partidos!$C:$C,Partidos!$X$2,Partidos!$G:$G,B33))</f>
        <v/>
      </c>
      <c r="H33" s="2" t="str">
        <f t="shared" si="2"/>
        <v/>
      </c>
      <c r="I33" s="10" t="str">
        <f>IF(B33="","",SUMIFS(Partidos!$T:$T,Partidos!$AB:$AB,TRUE,Partidos!$C:$C,Partidos!$X$2,Partidos!$D:$D,B33)+SUMIFS(Partidos!$T:$T,Partidos!$AB:$AB,TRUE,Partidos!$C:$C,Partidos!$X$2,Partidos!$E:$E,B33)+SUMIFS(Partidos!$U:$U,Partidos!$AB:$AB,TRUE,Partidos!$C:$C,Partidos!$X$2,Partidos!$F:$F,B33)+SUMIFS(Partidos!$U:$U,Partidos!$AB:$AB,TRUE,Partidos!$C:$C,Partidos!$X$2,Partidos!$G:$G,B33))</f>
        <v/>
      </c>
      <c r="J33" s="10" t="str">
        <f>IF(B33="","",D33*Partidos!$X$3 + E33*Partidos!$X$4 + I33)</f>
        <v/>
      </c>
    </row>
    <row r="34" spans="1:10" x14ac:dyDescent="0.3">
      <c r="A34" s="2" t="str">
        <f t="shared" si="0"/>
        <v/>
      </c>
      <c r="B34" s="6" t="str">
        <f>Ranking!B32</f>
        <v/>
      </c>
      <c r="C34" s="2" t="str">
        <f>IF(B34="","",COUNTIFS(Partidos!$AB:$AB,TRUE,Partidos!$C:$C,Partidos!$X$2,Partidos!$D:$D,B34)+COUNTIFS(Partidos!$AB:$AB,TRUE,Partidos!$C:$C,Partidos!$X$2,Partidos!$E:$E,B34)+COUNTIFS(Partidos!$AB:$AB,TRUE,Partidos!$C:$C,Partidos!$X$2,Partidos!$F:$F,B34)+COUNTIFS(Partidos!$AB:$AB,TRUE,Partidos!$C:$C,Partidos!$X$2,Partidos!$G:$G,B34))</f>
        <v/>
      </c>
      <c r="D34" s="2" t="str">
        <f>IF(B34="","",COUNTIFS(Partidos!$AB:$AB,TRUE,Partidos!$C:$C,Partidos!$X$2,Partidos!$P:$P,"A",Partidos!$D:$D,B34)+COUNTIFS(Partidos!$AB:$AB,TRUE,Partidos!$C:$C,Partidos!$X$2,Partidos!$P:$P,"A",Partidos!$E:$E,B34)+COUNTIFS(Partidos!$AB:$AB,TRUE,Partidos!$C:$C,Partidos!$X$2,Partidos!$P:$P,"B",Partidos!$F:$F,B34)+COUNTIFS(Partidos!$AB:$AB,TRUE,Partidos!$C:$C,Partidos!$X$2,Partidos!$P:$P,"B",Partidos!$G:$G,B34))</f>
        <v/>
      </c>
      <c r="E34" s="2" t="str">
        <f t="shared" si="1"/>
        <v/>
      </c>
      <c r="F34" s="2" t="str">
        <f>IF(B34="","",SUMIFS(Partidos!$Q:$Q,Partidos!$AB:$AB,TRUE,Partidos!$C:$C,Partidos!$X$2,Partidos!$D:$D,B34)+SUMIFS(Partidos!$Q:$Q,Partidos!$AB:$AB,TRUE,Partidos!$C:$C,Partidos!$X$2,Partidos!$E:$E,B34)+SUMIFS(Partidos!$R:$R,Partidos!$AB:$AB,TRUE,Partidos!$C:$C,Partidos!$X$2,Partidos!$F:$F,B34)+SUMIFS(Partidos!$R:$R,Partidos!$AB:$AB,TRUE,Partidos!$C:$C,Partidos!$X$2,Partidos!$G:$G,B34))</f>
        <v/>
      </c>
      <c r="G34" s="2" t="str">
        <f>IF(B34="","",SUMIFS(Partidos!$R:$R,Partidos!$AB:$AB,TRUE,Partidos!$C:$C,Partidos!$X$2,Partidos!$D:$D,B34)+SUMIFS(Partidos!$R:$R,Partidos!$AB:$AB,TRUE,Partidos!$C:$C,Partidos!$X$2,Partidos!$E:$E,B34)+SUMIFS(Partidos!$Q:$Q,Partidos!$AB:$AB,TRUE,Partidos!$C:$C,Partidos!$X$2,Partidos!$F:$F,B34)+SUMIFS(Partidos!$Q:$Q,Partidos!$AB:$AB,TRUE,Partidos!$C:$C,Partidos!$X$2,Partidos!$G:$G,B34))</f>
        <v/>
      </c>
      <c r="H34" s="2" t="str">
        <f t="shared" si="2"/>
        <v/>
      </c>
      <c r="I34" s="10" t="str">
        <f>IF(B34="","",SUMIFS(Partidos!$T:$T,Partidos!$AB:$AB,TRUE,Partidos!$C:$C,Partidos!$X$2,Partidos!$D:$D,B34)+SUMIFS(Partidos!$T:$T,Partidos!$AB:$AB,TRUE,Partidos!$C:$C,Partidos!$X$2,Partidos!$E:$E,B34)+SUMIFS(Partidos!$U:$U,Partidos!$AB:$AB,TRUE,Partidos!$C:$C,Partidos!$X$2,Partidos!$F:$F,B34)+SUMIFS(Partidos!$U:$U,Partidos!$AB:$AB,TRUE,Partidos!$C:$C,Partidos!$X$2,Partidos!$G:$G,B34))</f>
        <v/>
      </c>
      <c r="J34" s="10" t="str">
        <f>IF(B34="","",D34*Partidos!$X$3 + E34*Partidos!$X$4 + I34)</f>
        <v/>
      </c>
    </row>
    <row r="35" spans="1:10" x14ac:dyDescent="0.3">
      <c r="A35" s="2" t="str">
        <f t="shared" si="0"/>
        <v/>
      </c>
      <c r="B35" s="6" t="str">
        <f>Ranking!B33</f>
        <v/>
      </c>
      <c r="C35" s="2" t="str">
        <f>IF(B35="","",COUNTIFS(Partidos!$AB:$AB,TRUE,Partidos!$C:$C,Partidos!$X$2,Partidos!$D:$D,B35)+COUNTIFS(Partidos!$AB:$AB,TRUE,Partidos!$C:$C,Partidos!$X$2,Partidos!$E:$E,B35)+COUNTIFS(Partidos!$AB:$AB,TRUE,Partidos!$C:$C,Partidos!$X$2,Partidos!$F:$F,B35)+COUNTIFS(Partidos!$AB:$AB,TRUE,Partidos!$C:$C,Partidos!$X$2,Partidos!$G:$G,B35))</f>
        <v/>
      </c>
      <c r="D35" s="2" t="str">
        <f>IF(B35="","",COUNTIFS(Partidos!$AB:$AB,TRUE,Partidos!$C:$C,Partidos!$X$2,Partidos!$P:$P,"A",Partidos!$D:$D,B35)+COUNTIFS(Partidos!$AB:$AB,TRUE,Partidos!$C:$C,Partidos!$X$2,Partidos!$P:$P,"A",Partidos!$E:$E,B35)+COUNTIFS(Partidos!$AB:$AB,TRUE,Partidos!$C:$C,Partidos!$X$2,Partidos!$P:$P,"B",Partidos!$F:$F,B35)+COUNTIFS(Partidos!$AB:$AB,TRUE,Partidos!$C:$C,Partidos!$X$2,Partidos!$P:$P,"B",Partidos!$G:$G,B35))</f>
        <v/>
      </c>
      <c r="E35" s="2" t="str">
        <f t="shared" si="1"/>
        <v/>
      </c>
      <c r="F35" s="2" t="str">
        <f>IF(B35="","",SUMIFS(Partidos!$Q:$Q,Partidos!$AB:$AB,TRUE,Partidos!$C:$C,Partidos!$X$2,Partidos!$D:$D,B35)+SUMIFS(Partidos!$Q:$Q,Partidos!$AB:$AB,TRUE,Partidos!$C:$C,Partidos!$X$2,Partidos!$E:$E,B35)+SUMIFS(Partidos!$R:$R,Partidos!$AB:$AB,TRUE,Partidos!$C:$C,Partidos!$X$2,Partidos!$F:$F,B35)+SUMIFS(Partidos!$R:$R,Partidos!$AB:$AB,TRUE,Partidos!$C:$C,Partidos!$X$2,Partidos!$G:$G,B35))</f>
        <v/>
      </c>
      <c r="G35" s="2" t="str">
        <f>IF(B35="","",SUMIFS(Partidos!$R:$R,Partidos!$AB:$AB,TRUE,Partidos!$C:$C,Partidos!$X$2,Partidos!$D:$D,B35)+SUMIFS(Partidos!$R:$R,Partidos!$AB:$AB,TRUE,Partidos!$C:$C,Partidos!$X$2,Partidos!$E:$E,B35)+SUMIFS(Partidos!$Q:$Q,Partidos!$AB:$AB,TRUE,Partidos!$C:$C,Partidos!$X$2,Partidos!$F:$F,B35)+SUMIFS(Partidos!$Q:$Q,Partidos!$AB:$AB,TRUE,Partidos!$C:$C,Partidos!$X$2,Partidos!$G:$G,B35))</f>
        <v/>
      </c>
      <c r="H35" s="2" t="str">
        <f t="shared" si="2"/>
        <v/>
      </c>
      <c r="I35" s="10" t="str">
        <f>IF(B35="","",SUMIFS(Partidos!$T:$T,Partidos!$AB:$AB,TRUE,Partidos!$C:$C,Partidos!$X$2,Partidos!$D:$D,B35)+SUMIFS(Partidos!$T:$T,Partidos!$AB:$AB,TRUE,Partidos!$C:$C,Partidos!$X$2,Partidos!$E:$E,B35)+SUMIFS(Partidos!$U:$U,Partidos!$AB:$AB,TRUE,Partidos!$C:$C,Partidos!$X$2,Partidos!$F:$F,B35)+SUMIFS(Partidos!$U:$U,Partidos!$AB:$AB,TRUE,Partidos!$C:$C,Partidos!$X$2,Partidos!$G:$G,B35))</f>
        <v/>
      </c>
      <c r="J35" s="10" t="str">
        <f>IF(B35="","",D35*Partidos!$X$3 + E35*Partidos!$X$4 + I35)</f>
        <v/>
      </c>
    </row>
    <row r="36" spans="1:10" x14ac:dyDescent="0.3">
      <c r="A36" s="2" t="str">
        <f t="shared" ref="A36:A63" si="3">IF(B36="","",RANK(J36,$J$4:$J$63,0)+COUNTIFS($J$4:$J$63,J36,$H$4:$H$63,"&gt;"&amp;H36)+COUNTIFS($J$4:$J$63,J36,$H$4:$H$63,H36,$D$4:$D$63,"&gt;"&amp;D36)+COUNTIFS($J$4:$J$63,J36,$H$4:$H$63,H36,$D$4:$D$63,D36,$B$4:$B$63,"&gt;"&amp;B36))</f>
        <v/>
      </c>
      <c r="B36" s="6" t="str">
        <f>Ranking!B34</f>
        <v/>
      </c>
      <c r="C36" s="2" t="str">
        <f>IF(B36="","",COUNTIFS(Partidos!$AB:$AB,TRUE,Partidos!$C:$C,Partidos!$X$2,Partidos!$D:$D,B36)+COUNTIFS(Partidos!$AB:$AB,TRUE,Partidos!$C:$C,Partidos!$X$2,Partidos!$E:$E,B36)+COUNTIFS(Partidos!$AB:$AB,TRUE,Partidos!$C:$C,Partidos!$X$2,Partidos!$F:$F,B36)+COUNTIFS(Partidos!$AB:$AB,TRUE,Partidos!$C:$C,Partidos!$X$2,Partidos!$G:$G,B36))</f>
        <v/>
      </c>
      <c r="D36" s="2" t="str">
        <f>IF(B36="","",COUNTIFS(Partidos!$AB:$AB,TRUE,Partidos!$C:$C,Partidos!$X$2,Partidos!$P:$P,"A",Partidos!$D:$D,B36)+COUNTIFS(Partidos!$AB:$AB,TRUE,Partidos!$C:$C,Partidos!$X$2,Partidos!$P:$P,"A",Partidos!$E:$E,B36)+COUNTIFS(Partidos!$AB:$AB,TRUE,Partidos!$C:$C,Partidos!$X$2,Partidos!$P:$P,"B",Partidos!$F:$F,B36)+COUNTIFS(Partidos!$AB:$AB,TRUE,Partidos!$C:$C,Partidos!$X$2,Partidos!$P:$P,"B",Partidos!$G:$G,B36))</f>
        <v/>
      </c>
      <c r="E36" s="2" t="str">
        <f t="shared" ref="E36:E63" si="4">IF(B36="","",C36-D36)</f>
        <v/>
      </c>
      <c r="F36" s="2" t="str">
        <f>IF(B36="","",SUMIFS(Partidos!$Q:$Q,Partidos!$AB:$AB,TRUE,Partidos!$C:$C,Partidos!$X$2,Partidos!$D:$D,B36)+SUMIFS(Partidos!$Q:$Q,Partidos!$AB:$AB,TRUE,Partidos!$C:$C,Partidos!$X$2,Partidos!$E:$E,B36)+SUMIFS(Partidos!$R:$R,Partidos!$AB:$AB,TRUE,Partidos!$C:$C,Partidos!$X$2,Partidos!$F:$F,B36)+SUMIFS(Partidos!$R:$R,Partidos!$AB:$AB,TRUE,Partidos!$C:$C,Partidos!$X$2,Partidos!$G:$G,B36))</f>
        <v/>
      </c>
      <c r="G36" s="2" t="str">
        <f>IF(B36="","",SUMIFS(Partidos!$R:$R,Partidos!$AB:$AB,TRUE,Partidos!$C:$C,Partidos!$X$2,Partidos!$D:$D,B36)+SUMIFS(Partidos!$R:$R,Partidos!$AB:$AB,TRUE,Partidos!$C:$C,Partidos!$X$2,Partidos!$E:$E,B36)+SUMIFS(Partidos!$Q:$Q,Partidos!$AB:$AB,TRUE,Partidos!$C:$C,Partidos!$X$2,Partidos!$F:$F,B36)+SUMIFS(Partidos!$Q:$Q,Partidos!$AB:$AB,TRUE,Partidos!$C:$C,Partidos!$X$2,Partidos!$G:$G,B36))</f>
        <v/>
      </c>
      <c r="H36" s="2" t="str">
        <f t="shared" ref="H36:H63" si="5">IF(B36="","",F36-G36)</f>
        <v/>
      </c>
      <c r="I36" s="10" t="str">
        <f>IF(B36="","",SUMIFS(Partidos!$T:$T,Partidos!$AB:$AB,TRUE,Partidos!$C:$C,Partidos!$X$2,Partidos!$D:$D,B36)+SUMIFS(Partidos!$T:$T,Partidos!$AB:$AB,TRUE,Partidos!$C:$C,Partidos!$X$2,Partidos!$E:$E,B36)+SUMIFS(Partidos!$U:$U,Partidos!$AB:$AB,TRUE,Partidos!$C:$C,Partidos!$X$2,Partidos!$F:$F,B36)+SUMIFS(Partidos!$U:$U,Partidos!$AB:$AB,TRUE,Partidos!$C:$C,Partidos!$X$2,Partidos!$G:$G,B36))</f>
        <v/>
      </c>
      <c r="J36" s="10" t="str">
        <f>IF(B36="","",D36*Partidos!$X$3 + E36*Partidos!$X$4 + I36)</f>
        <v/>
      </c>
    </row>
    <row r="37" spans="1:10" x14ac:dyDescent="0.3">
      <c r="A37" s="2" t="str">
        <f t="shared" si="3"/>
        <v/>
      </c>
      <c r="B37" s="6" t="str">
        <f>Ranking!B35</f>
        <v/>
      </c>
      <c r="C37" s="2" t="str">
        <f>IF(B37="","",COUNTIFS(Partidos!$AB:$AB,TRUE,Partidos!$C:$C,Partidos!$X$2,Partidos!$D:$D,B37)+COUNTIFS(Partidos!$AB:$AB,TRUE,Partidos!$C:$C,Partidos!$X$2,Partidos!$E:$E,B37)+COUNTIFS(Partidos!$AB:$AB,TRUE,Partidos!$C:$C,Partidos!$X$2,Partidos!$F:$F,B37)+COUNTIFS(Partidos!$AB:$AB,TRUE,Partidos!$C:$C,Partidos!$X$2,Partidos!$G:$G,B37))</f>
        <v/>
      </c>
      <c r="D37" s="2" t="str">
        <f>IF(B37="","",COUNTIFS(Partidos!$AB:$AB,TRUE,Partidos!$C:$C,Partidos!$X$2,Partidos!$P:$P,"A",Partidos!$D:$D,B37)+COUNTIFS(Partidos!$AB:$AB,TRUE,Partidos!$C:$C,Partidos!$X$2,Partidos!$P:$P,"A",Partidos!$E:$E,B37)+COUNTIFS(Partidos!$AB:$AB,TRUE,Partidos!$C:$C,Partidos!$X$2,Partidos!$P:$P,"B",Partidos!$F:$F,B37)+COUNTIFS(Partidos!$AB:$AB,TRUE,Partidos!$C:$C,Partidos!$X$2,Partidos!$P:$P,"B",Partidos!$G:$G,B37))</f>
        <v/>
      </c>
      <c r="E37" s="2" t="str">
        <f t="shared" si="4"/>
        <v/>
      </c>
      <c r="F37" s="2" t="str">
        <f>IF(B37="","",SUMIFS(Partidos!$Q:$Q,Partidos!$AB:$AB,TRUE,Partidos!$C:$C,Partidos!$X$2,Partidos!$D:$D,B37)+SUMIFS(Partidos!$Q:$Q,Partidos!$AB:$AB,TRUE,Partidos!$C:$C,Partidos!$X$2,Partidos!$E:$E,B37)+SUMIFS(Partidos!$R:$R,Partidos!$AB:$AB,TRUE,Partidos!$C:$C,Partidos!$X$2,Partidos!$F:$F,B37)+SUMIFS(Partidos!$R:$R,Partidos!$AB:$AB,TRUE,Partidos!$C:$C,Partidos!$X$2,Partidos!$G:$G,B37))</f>
        <v/>
      </c>
      <c r="G37" s="2" t="str">
        <f>IF(B37="","",SUMIFS(Partidos!$R:$R,Partidos!$AB:$AB,TRUE,Partidos!$C:$C,Partidos!$X$2,Partidos!$D:$D,B37)+SUMIFS(Partidos!$R:$R,Partidos!$AB:$AB,TRUE,Partidos!$C:$C,Partidos!$X$2,Partidos!$E:$E,B37)+SUMIFS(Partidos!$Q:$Q,Partidos!$AB:$AB,TRUE,Partidos!$C:$C,Partidos!$X$2,Partidos!$F:$F,B37)+SUMIFS(Partidos!$Q:$Q,Partidos!$AB:$AB,TRUE,Partidos!$C:$C,Partidos!$X$2,Partidos!$G:$G,B37))</f>
        <v/>
      </c>
      <c r="H37" s="2" t="str">
        <f t="shared" si="5"/>
        <v/>
      </c>
      <c r="I37" s="10" t="str">
        <f>IF(B37="","",SUMIFS(Partidos!$T:$T,Partidos!$AB:$AB,TRUE,Partidos!$C:$C,Partidos!$X$2,Partidos!$D:$D,B37)+SUMIFS(Partidos!$T:$T,Partidos!$AB:$AB,TRUE,Partidos!$C:$C,Partidos!$X$2,Partidos!$E:$E,B37)+SUMIFS(Partidos!$U:$U,Partidos!$AB:$AB,TRUE,Partidos!$C:$C,Partidos!$X$2,Partidos!$F:$F,B37)+SUMIFS(Partidos!$U:$U,Partidos!$AB:$AB,TRUE,Partidos!$C:$C,Partidos!$X$2,Partidos!$G:$G,B37))</f>
        <v/>
      </c>
      <c r="J37" s="10" t="str">
        <f>IF(B37="","",D37*Partidos!$X$3 + E37*Partidos!$X$4 + I37)</f>
        <v/>
      </c>
    </row>
    <row r="38" spans="1:10" x14ac:dyDescent="0.3">
      <c r="A38" s="2" t="str">
        <f t="shared" si="3"/>
        <v/>
      </c>
      <c r="B38" s="6" t="str">
        <f>Ranking!B36</f>
        <v/>
      </c>
      <c r="C38" s="2" t="str">
        <f>IF(B38="","",COUNTIFS(Partidos!$AB:$AB,TRUE,Partidos!$C:$C,Partidos!$X$2,Partidos!$D:$D,B38)+COUNTIFS(Partidos!$AB:$AB,TRUE,Partidos!$C:$C,Partidos!$X$2,Partidos!$E:$E,B38)+COUNTIFS(Partidos!$AB:$AB,TRUE,Partidos!$C:$C,Partidos!$X$2,Partidos!$F:$F,B38)+COUNTIFS(Partidos!$AB:$AB,TRUE,Partidos!$C:$C,Partidos!$X$2,Partidos!$G:$G,B38))</f>
        <v/>
      </c>
      <c r="D38" s="2" t="str">
        <f>IF(B38="","",COUNTIFS(Partidos!$AB:$AB,TRUE,Partidos!$C:$C,Partidos!$X$2,Partidos!$P:$P,"A",Partidos!$D:$D,B38)+COUNTIFS(Partidos!$AB:$AB,TRUE,Partidos!$C:$C,Partidos!$X$2,Partidos!$P:$P,"A",Partidos!$E:$E,B38)+COUNTIFS(Partidos!$AB:$AB,TRUE,Partidos!$C:$C,Partidos!$X$2,Partidos!$P:$P,"B",Partidos!$F:$F,B38)+COUNTIFS(Partidos!$AB:$AB,TRUE,Partidos!$C:$C,Partidos!$X$2,Partidos!$P:$P,"B",Partidos!$G:$G,B38))</f>
        <v/>
      </c>
      <c r="E38" s="2" t="str">
        <f t="shared" si="4"/>
        <v/>
      </c>
      <c r="F38" s="2" t="str">
        <f>IF(B38="","",SUMIFS(Partidos!$Q:$Q,Partidos!$AB:$AB,TRUE,Partidos!$C:$C,Partidos!$X$2,Partidos!$D:$D,B38)+SUMIFS(Partidos!$Q:$Q,Partidos!$AB:$AB,TRUE,Partidos!$C:$C,Partidos!$X$2,Partidos!$E:$E,B38)+SUMIFS(Partidos!$R:$R,Partidos!$AB:$AB,TRUE,Partidos!$C:$C,Partidos!$X$2,Partidos!$F:$F,B38)+SUMIFS(Partidos!$R:$R,Partidos!$AB:$AB,TRUE,Partidos!$C:$C,Partidos!$X$2,Partidos!$G:$G,B38))</f>
        <v/>
      </c>
      <c r="G38" s="2" t="str">
        <f>IF(B38="","",SUMIFS(Partidos!$R:$R,Partidos!$AB:$AB,TRUE,Partidos!$C:$C,Partidos!$X$2,Partidos!$D:$D,B38)+SUMIFS(Partidos!$R:$R,Partidos!$AB:$AB,TRUE,Partidos!$C:$C,Partidos!$X$2,Partidos!$E:$E,B38)+SUMIFS(Partidos!$Q:$Q,Partidos!$AB:$AB,TRUE,Partidos!$C:$C,Partidos!$X$2,Partidos!$F:$F,B38)+SUMIFS(Partidos!$Q:$Q,Partidos!$AB:$AB,TRUE,Partidos!$C:$C,Partidos!$X$2,Partidos!$G:$G,B38))</f>
        <v/>
      </c>
      <c r="H38" s="2" t="str">
        <f t="shared" si="5"/>
        <v/>
      </c>
      <c r="I38" s="10" t="str">
        <f>IF(B38="","",SUMIFS(Partidos!$T:$T,Partidos!$AB:$AB,TRUE,Partidos!$C:$C,Partidos!$X$2,Partidos!$D:$D,B38)+SUMIFS(Partidos!$T:$T,Partidos!$AB:$AB,TRUE,Partidos!$C:$C,Partidos!$X$2,Partidos!$E:$E,B38)+SUMIFS(Partidos!$U:$U,Partidos!$AB:$AB,TRUE,Partidos!$C:$C,Partidos!$X$2,Partidos!$F:$F,B38)+SUMIFS(Partidos!$U:$U,Partidos!$AB:$AB,TRUE,Partidos!$C:$C,Partidos!$X$2,Partidos!$G:$G,B38))</f>
        <v/>
      </c>
      <c r="J38" s="10" t="str">
        <f>IF(B38="","",D38*Partidos!$X$3 + E38*Partidos!$X$4 + I38)</f>
        <v/>
      </c>
    </row>
    <row r="39" spans="1:10" x14ac:dyDescent="0.3">
      <c r="A39" s="2" t="str">
        <f t="shared" si="3"/>
        <v/>
      </c>
      <c r="B39" s="6" t="str">
        <f>Ranking!B37</f>
        <v/>
      </c>
      <c r="C39" s="2" t="str">
        <f>IF(B39="","",COUNTIFS(Partidos!$AB:$AB,TRUE,Partidos!$C:$C,Partidos!$X$2,Partidos!$D:$D,B39)+COUNTIFS(Partidos!$AB:$AB,TRUE,Partidos!$C:$C,Partidos!$X$2,Partidos!$E:$E,B39)+COUNTIFS(Partidos!$AB:$AB,TRUE,Partidos!$C:$C,Partidos!$X$2,Partidos!$F:$F,B39)+COUNTIFS(Partidos!$AB:$AB,TRUE,Partidos!$C:$C,Partidos!$X$2,Partidos!$G:$G,B39))</f>
        <v/>
      </c>
      <c r="D39" s="2" t="str">
        <f>IF(B39="","",COUNTIFS(Partidos!$AB:$AB,TRUE,Partidos!$C:$C,Partidos!$X$2,Partidos!$P:$P,"A",Partidos!$D:$D,B39)+COUNTIFS(Partidos!$AB:$AB,TRUE,Partidos!$C:$C,Partidos!$X$2,Partidos!$P:$P,"A",Partidos!$E:$E,B39)+COUNTIFS(Partidos!$AB:$AB,TRUE,Partidos!$C:$C,Partidos!$X$2,Partidos!$P:$P,"B",Partidos!$F:$F,B39)+COUNTIFS(Partidos!$AB:$AB,TRUE,Partidos!$C:$C,Partidos!$X$2,Partidos!$P:$P,"B",Partidos!$G:$G,B39))</f>
        <v/>
      </c>
      <c r="E39" s="2" t="str">
        <f t="shared" si="4"/>
        <v/>
      </c>
      <c r="F39" s="2" t="str">
        <f>IF(B39="","",SUMIFS(Partidos!$Q:$Q,Partidos!$AB:$AB,TRUE,Partidos!$C:$C,Partidos!$X$2,Partidos!$D:$D,B39)+SUMIFS(Partidos!$Q:$Q,Partidos!$AB:$AB,TRUE,Partidos!$C:$C,Partidos!$X$2,Partidos!$E:$E,B39)+SUMIFS(Partidos!$R:$R,Partidos!$AB:$AB,TRUE,Partidos!$C:$C,Partidos!$X$2,Partidos!$F:$F,B39)+SUMIFS(Partidos!$R:$R,Partidos!$AB:$AB,TRUE,Partidos!$C:$C,Partidos!$X$2,Partidos!$G:$G,B39))</f>
        <v/>
      </c>
      <c r="G39" s="2" t="str">
        <f>IF(B39="","",SUMIFS(Partidos!$R:$R,Partidos!$AB:$AB,TRUE,Partidos!$C:$C,Partidos!$X$2,Partidos!$D:$D,B39)+SUMIFS(Partidos!$R:$R,Partidos!$AB:$AB,TRUE,Partidos!$C:$C,Partidos!$X$2,Partidos!$E:$E,B39)+SUMIFS(Partidos!$Q:$Q,Partidos!$AB:$AB,TRUE,Partidos!$C:$C,Partidos!$X$2,Partidos!$F:$F,B39)+SUMIFS(Partidos!$Q:$Q,Partidos!$AB:$AB,TRUE,Partidos!$C:$C,Partidos!$X$2,Partidos!$G:$G,B39))</f>
        <v/>
      </c>
      <c r="H39" s="2" t="str">
        <f t="shared" si="5"/>
        <v/>
      </c>
      <c r="I39" s="10" t="str">
        <f>IF(B39="","",SUMIFS(Partidos!$T:$T,Partidos!$AB:$AB,TRUE,Partidos!$C:$C,Partidos!$X$2,Partidos!$D:$D,B39)+SUMIFS(Partidos!$T:$T,Partidos!$AB:$AB,TRUE,Partidos!$C:$C,Partidos!$X$2,Partidos!$E:$E,B39)+SUMIFS(Partidos!$U:$U,Partidos!$AB:$AB,TRUE,Partidos!$C:$C,Partidos!$X$2,Partidos!$F:$F,B39)+SUMIFS(Partidos!$U:$U,Partidos!$AB:$AB,TRUE,Partidos!$C:$C,Partidos!$X$2,Partidos!$G:$G,B39))</f>
        <v/>
      </c>
      <c r="J39" s="10" t="str">
        <f>IF(B39="","",D39*Partidos!$X$3 + E39*Partidos!$X$4 + I39)</f>
        <v/>
      </c>
    </row>
    <row r="40" spans="1:10" x14ac:dyDescent="0.3">
      <c r="A40" s="2" t="str">
        <f t="shared" si="3"/>
        <v/>
      </c>
      <c r="B40" s="6" t="str">
        <f>Ranking!B38</f>
        <v/>
      </c>
      <c r="C40" s="2" t="str">
        <f>IF(B40="","",COUNTIFS(Partidos!$AB:$AB,TRUE,Partidos!$C:$C,Partidos!$X$2,Partidos!$D:$D,B40)+COUNTIFS(Partidos!$AB:$AB,TRUE,Partidos!$C:$C,Partidos!$X$2,Partidos!$E:$E,B40)+COUNTIFS(Partidos!$AB:$AB,TRUE,Partidos!$C:$C,Partidos!$X$2,Partidos!$F:$F,B40)+COUNTIFS(Partidos!$AB:$AB,TRUE,Partidos!$C:$C,Partidos!$X$2,Partidos!$G:$G,B40))</f>
        <v/>
      </c>
      <c r="D40" s="2" t="str">
        <f>IF(B40="","",COUNTIFS(Partidos!$AB:$AB,TRUE,Partidos!$C:$C,Partidos!$X$2,Partidos!$P:$P,"A",Partidos!$D:$D,B40)+COUNTIFS(Partidos!$AB:$AB,TRUE,Partidos!$C:$C,Partidos!$X$2,Partidos!$P:$P,"A",Partidos!$E:$E,B40)+COUNTIFS(Partidos!$AB:$AB,TRUE,Partidos!$C:$C,Partidos!$X$2,Partidos!$P:$P,"B",Partidos!$F:$F,B40)+COUNTIFS(Partidos!$AB:$AB,TRUE,Partidos!$C:$C,Partidos!$X$2,Partidos!$P:$P,"B",Partidos!$G:$G,B40))</f>
        <v/>
      </c>
      <c r="E40" s="2" t="str">
        <f t="shared" si="4"/>
        <v/>
      </c>
      <c r="F40" s="2" t="str">
        <f>IF(B40="","",SUMIFS(Partidos!$Q:$Q,Partidos!$AB:$AB,TRUE,Partidos!$C:$C,Partidos!$X$2,Partidos!$D:$D,B40)+SUMIFS(Partidos!$Q:$Q,Partidos!$AB:$AB,TRUE,Partidos!$C:$C,Partidos!$X$2,Partidos!$E:$E,B40)+SUMIFS(Partidos!$R:$R,Partidos!$AB:$AB,TRUE,Partidos!$C:$C,Partidos!$X$2,Partidos!$F:$F,B40)+SUMIFS(Partidos!$R:$R,Partidos!$AB:$AB,TRUE,Partidos!$C:$C,Partidos!$X$2,Partidos!$G:$G,B40))</f>
        <v/>
      </c>
      <c r="G40" s="2" t="str">
        <f>IF(B40="","",SUMIFS(Partidos!$R:$R,Partidos!$AB:$AB,TRUE,Partidos!$C:$C,Partidos!$X$2,Partidos!$D:$D,B40)+SUMIFS(Partidos!$R:$R,Partidos!$AB:$AB,TRUE,Partidos!$C:$C,Partidos!$X$2,Partidos!$E:$E,B40)+SUMIFS(Partidos!$Q:$Q,Partidos!$AB:$AB,TRUE,Partidos!$C:$C,Partidos!$X$2,Partidos!$F:$F,B40)+SUMIFS(Partidos!$Q:$Q,Partidos!$AB:$AB,TRUE,Partidos!$C:$C,Partidos!$X$2,Partidos!$G:$G,B40))</f>
        <v/>
      </c>
      <c r="H40" s="2" t="str">
        <f t="shared" si="5"/>
        <v/>
      </c>
      <c r="I40" s="10" t="str">
        <f>IF(B40="","",SUMIFS(Partidos!$T:$T,Partidos!$AB:$AB,TRUE,Partidos!$C:$C,Partidos!$X$2,Partidos!$D:$D,B40)+SUMIFS(Partidos!$T:$T,Partidos!$AB:$AB,TRUE,Partidos!$C:$C,Partidos!$X$2,Partidos!$E:$E,B40)+SUMIFS(Partidos!$U:$U,Partidos!$AB:$AB,TRUE,Partidos!$C:$C,Partidos!$X$2,Partidos!$F:$F,B40)+SUMIFS(Partidos!$U:$U,Partidos!$AB:$AB,TRUE,Partidos!$C:$C,Partidos!$X$2,Partidos!$G:$G,B40))</f>
        <v/>
      </c>
      <c r="J40" s="10" t="str">
        <f>IF(B40="","",D40*Partidos!$X$3 + E40*Partidos!$X$4 + I40)</f>
        <v/>
      </c>
    </row>
    <row r="41" spans="1:10" x14ac:dyDescent="0.3">
      <c r="A41" s="2" t="str">
        <f t="shared" si="3"/>
        <v/>
      </c>
      <c r="B41" s="6" t="str">
        <f>Ranking!B39</f>
        <v/>
      </c>
      <c r="C41" s="2" t="str">
        <f>IF(B41="","",COUNTIFS(Partidos!$AB:$AB,TRUE,Partidos!$C:$C,Partidos!$X$2,Partidos!$D:$D,B41)+COUNTIFS(Partidos!$AB:$AB,TRUE,Partidos!$C:$C,Partidos!$X$2,Partidos!$E:$E,B41)+COUNTIFS(Partidos!$AB:$AB,TRUE,Partidos!$C:$C,Partidos!$X$2,Partidos!$F:$F,B41)+COUNTIFS(Partidos!$AB:$AB,TRUE,Partidos!$C:$C,Partidos!$X$2,Partidos!$G:$G,B41))</f>
        <v/>
      </c>
      <c r="D41" s="2" t="str">
        <f>IF(B41="","",COUNTIFS(Partidos!$AB:$AB,TRUE,Partidos!$C:$C,Partidos!$X$2,Partidos!$P:$P,"A",Partidos!$D:$D,B41)+COUNTIFS(Partidos!$AB:$AB,TRUE,Partidos!$C:$C,Partidos!$X$2,Partidos!$P:$P,"A",Partidos!$E:$E,B41)+COUNTIFS(Partidos!$AB:$AB,TRUE,Partidos!$C:$C,Partidos!$X$2,Partidos!$P:$P,"B",Partidos!$F:$F,B41)+COUNTIFS(Partidos!$AB:$AB,TRUE,Partidos!$C:$C,Partidos!$X$2,Partidos!$P:$P,"B",Partidos!$G:$G,B41))</f>
        <v/>
      </c>
      <c r="E41" s="2" t="str">
        <f t="shared" si="4"/>
        <v/>
      </c>
      <c r="F41" s="2" t="str">
        <f>IF(B41="","",SUMIFS(Partidos!$Q:$Q,Partidos!$AB:$AB,TRUE,Partidos!$C:$C,Partidos!$X$2,Partidos!$D:$D,B41)+SUMIFS(Partidos!$Q:$Q,Partidos!$AB:$AB,TRUE,Partidos!$C:$C,Partidos!$X$2,Partidos!$E:$E,B41)+SUMIFS(Partidos!$R:$R,Partidos!$AB:$AB,TRUE,Partidos!$C:$C,Partidos!$X$2,Partidos!$F:$F,B41)+SUMIFS(Partidos!$R:$R,Partidos!$AB:$AB,TRUE,Partidos!$C:$C,Partidos!$X$2,Partidos!$G:$G,B41))</f>
        <v/>
      </c>
      <c r="G41" s="2" t="str">
        <f>IF(B41="","",SUMIFS(Partidos!$R:$R,Partidos!$AB:$AB,TRUE,Partidos!$C:$C,Partidos!$X$2,Partidos!$D:$D,B41)+SUMIFS(Partidos!$R:$R,Partidos!$AB:$AB,TRUE,Partidos!$C:$C,Partidos!$X$2,Partidos!$E:$E,B41)+SUMIFS(Partidos!$Q:$Q,Partidos!$AB:$AB,TRUE,Partidos!$C:$C,Partidos!$X$2,Partidos!$F:$F,B41)+SUMIFS(Partidos!$Q:$Q,Partidos!$AB:$AB,TRUE,Partidos!$C:$C,Partidos!$X$2,Partidos!$G:$G,B41))</f>
        <v/>
      </c>
      <c r="H41" s="2" t="str">
        <f t="shared" si="5"/>
        <v/>
      </c>
      <c r="I41" s="10" t="str">
        <f>IF(B41="","",SUMIFS(Partidos!$T:$T,Partidos!$AB:$AB,TRUE,Partidos!$C:$C,Partidos!$X$2,Partidos!$D:$D,B41)+SUMIFS(Partidos!$T:$T,Partidos!$AB:$AB,TRUE,Partidos!$C:$C,Partidos!$X$2,Partidos!$E:$E,B41)+SUMIFS(Partidos!$U:$U,Partidos!$AB:$AB,TRUE,Partidos!$C:$C,Partidos!$X$2,Partidos!$F:$F,B41)+SUMIFS(Partidos!$U:$U,Partidos!$AB:$AB,TRUE,Partidos!$C:$C,Partidos!$X$2,Partidos!$G:$G,B41))</f>
        <v/>
      </c>
      <c r="J41" s="10" t="str">
        <f>IF(B41="","",D41*Partidos!$X$3 + E41*Partidos!$X$4 + I41)</f>
        <v/>
      </c>
    </row>
    <row r="42" spans="1:10" x14ac:dyDescent="0.3">
      <c r="A42" s="2" t="str">
        <f t="shared" si="3"/>
        <v/>
      </c>
      <c r="B42" s="6" t="str">
        <f>Ranking!B40</f>
        <v/>
      </c>
      <c r="C42" s="2" t="str">
        <f>IF(B42="","",COUNTIFS(Partidos!$AB:$AB,TRUE,Partidos!$C:$C,Partidos!$X$2,Partidos!$D:$D,B42)+COUNTIFS(Partidos!$AB:$AB,TRUE,Partidos!$C:$C,Partidos!$X$2,Partidos!$E:$E,B42)+COUNTIFS(Partidos!$AB:$AB,TRUE,Partidos!$C:$C,Partidos!$X$2,Partidos!$F:$F,B42)+COUNTIFS(Partidos!$AB:$AB,TRUE,Partidos!$C:$C,Partidos!$X$2,Partidos!$G:$G,B42))</f>
        <v/>
      </c>
      <c r="D42" s="2" t="str">
        <f>IF(B42="","",COUNTIFS(Partidos!$AB:$AB,TRUE,Partidos!$C:$C,Partidos!$X$2,Partidos!$P:$P,"A",Partidos!$D:$D,B42)+COUNTIFS(Partidos!$AB:$AB,TRUE,Partidos!$C:$C,Partidos!$X$2,Partidos!$P:$P,"A",Partidos!$E:$E,B42)+COUNTIFS(Partidos!$AB:$AB,TRUE,Partidos!$C:$C,Partidos!$X$2,Partidos!$P:$P,"B",Partidos!$F:$F,B42)+COUNTIFS(Partidos!$AB:$AB,TRUE,Partidos!$C:$C,Partidos!$X$2,Partidos!$P:$P,"B",Partidos!$G:$G,B42))</f>
        <v/>
      </c>
      <c r="E42" s="2" t="str">
        <f t="shared" si="4"/>
        <v/>
      </c>
      <c r="F42" s="2" t="str">
        <f>IF(B42="","",SUMIFS(Partidos!$Q:$Q,Partidos!$AB:$AB,TRUE,Partidos!$C:$C,Partidos!$X$2,Partidos!$D:$D,B42)+SUMIFS(Partidos!$Q:$Q,Partidos!$AB:$AB,TRUE,Partidos!$C:$C,Partidos!$X$2,Partidos!$E:$E,B42)+SUMIFS(Partidos!$R:$R,Partidos!$AB:$AB,TRUE,Partidos!$C:$C,Partidos!$X$2,Partidos!$F:$F,B42)+SUMIFS(Partidos!$R:$R,Partidos!$AB:$AB,TRUE,Partidos!$C:$C,Partidos!$X$2,Partidos!$G:$G,B42))</f>
        <v/>
      </c>
      <c r="G42" s="2" t="str">
        <f>IF(B42="","",SUMIFS(Partidos!$R:$R,Partidos!$AB:$AB,TRUE,Partidos!$C:$C,Partidos!$X$2,Partidos!$D:$D,B42)+SUMIFS(Partidos!$R:$R,Partidos!$AB:$AB,TRUE,Partidos!$C:$C,Partidos!$X$2,Partidos!$E:$E,B42)+SUMIFS(Partidos!$Q:$Q,Partidos!$AB:$AB,TRUE,Partidos!$C:$C,Partidos!$X$2,Partidos!$F:$F,B42)+SUMIFS(Partidos!$Q:$Q,Partidos!$AB:$AB,TRUE,Partidos!$C:$C,Partidos!$X$2,Partidos!$G:$G,B42))</f>
        <v/>
      </c>
      <c r="H42" s="2" t="str">
        <f t="shared" si="5"/>
        <v/>
      </c>
      <c r="I42" s="10" t="str">
        <f>IF(B42="","",SUMIFS(Partidos!$T:$T,Partidos!$AB:$AB,TRUE,Partidos!$C:$C,Partidos!$X$2,Partidos!$D:$D,B42)+SUMIFS(Partidos!$T:$T,Partidos!$AB:$AB,TRUE,Partidos!$C:$C,Partidos!$X$2,Partidos!$E:$E,B42)+SUMIFS(Partidos!$U:$U,Partidos!$AB:$AB,TRUE,Partidos!$C:$C,Partidos!$X$2,Partidos!$F:$F,B42)+SUMIFS(Partidos!$U:$U,Partidos!$AB:$AB,TRUE,Partidos!$C:$C,Partidos!$X$2,Partidos!$G:$G,B42))</f>
        <v/>
      </c>
      <c r="J42" s="10" t="str">
        <f>IF(B42="","",D42*Partidos!$X$3 + E42*Partidos!$X$4 + I42)</f>
        <v/>
      </c>
    </row>
    <row r="43" spans="1:10" x14ac:dyDescent="0.3">
      <c r="A43" s="2" t="str">
        <f t="shared" si="3"/>
        <v/>
      </c>
      <c r="B43" s="6" t="str">
        <f>Ranking!B41</f>
        <v/>
      </c>
      <c r="C43" s="2" t="str">
        <f>IF(B43="","",COUNTIFS(Partidos!$AB:$AB,TRUE,Partidos!$C:$C,Partidos!$X$2,Partidos!$D:$D,B43)+COUNTIFS(Partidos!$AB:$AB,TRUE,Partidos!$C:$C,Partidos!$X$2,Partidos!$E:$E,B43)+COUNTIFS(Partidos!$AB:$AB,TRUE,Partidos!$C:$C,Partidos!$X$2,Partidos!$F:$F,B43)+COUNTIFS(Partidos!$AB:$AB,TRUE,Partidos!$C:$C,Partidos!$X$2,Partidos!$G:$G,B43))</f>
        <v/>
      </c>
      <c r="D43" s="2" t="str">
        <f>IF(B43="","",COUNTIFS(Partidos!$AB:$AB,TRUE,Partidos!$C:$C,Partidos!$X$2,Partidos!$P:$P,"A",Partidos!$D:$D,B43)+COUNTIFS(Partidos!$AB:$AB,TRUE,Partidos!$C:$C,Partidos!$X$2,Partidos!$P:$P,"A",Partidos!$E:$E,B43)+COUNTIFS(Partidos!$AB:$AB,TRUE,Partidos!$C:$C,Partidos!$X$2,Partidos!$P:$P,"B",Partidos!$F:$F,B43)+COUNTIFS(Partidos!$AB:$AB,TRUE,Partidos!$C:$C,Partidos!$X$2,Partidos!$P:$P,"B",Partidos!$G:$G,B43))</f>
        <v/>
      </c>
      <c r="E43" s="2" t="str">
        <f t="shared" si="4"/>
        <v/>
      </c>
      <c r="F43" s="2" t="str">
        <f>IF(B43="","",SUMIFS(Partidos!$Q:$Q,Partidos!$AB:$AB,TRUE,Partidos!$C:$C,Partidos!$X$2,Partidos!$D:$D,B43)+SUMIFS(Partidos!$Q:$Q,Partidos!$AB:$AB,TRUE,Partidos!$C:$C,Partidos!$X$2,Partidos!$E:$E,B43)+SUMIFS(Partidos!$R:$R,Partidos!$AB:$AB,TRUE,Partidos!$C:$C,Partidos!$X$2,Partidos!$F:$F,B43)+SUMIFS(Partidos!$R:$R,Partidos!$AB:$AB,TRUE,Partidos!$C:$C,Partidos!$X$2,Partidos!$G:$G,B43))</f>
        <v/>
      </c>
      <c r="G43" s="2" t="str">
        <f>IF(B43="","",SUMIFS(Partidos!$R:$R,Partidos!$AB:$AB,TRUE,Partidos!$C:$C,Partidos!$X$2,Partidos!$D:$D,B43)+SUMIFS(Partidos!$R:$R,Partidos!$AB:$AB,TRUE,Partidos!$C:$C,Partidos!$X$2,Partidos!$E:$E,B43)+SUMIFS(Partidos!$Q:$Q,Partidos!$AB:$AB,TRUE,Partidos!$C:$C,Partidos!$X$2,Partidos!$F:$F,B43)+SUMIFS(Partidos!$Q:$Q,Partidos!$AB:$AB,TRUE,Partidos!$C:$C,Partidos!$X$2,Partidos!$G:$G,B43))</f>
        <v/>
      </c>
      <c r="H43" s="2" t="str">
        <f t="shared" si="5"/>
        <v/>
      </c>
      <c r="I43" s="10" t="str">
        <f>IF(B43="","",SUMIFS(Partidos!$T:$T,Partidos!$AB:$AB,TRUE,Partidos!$C:$C,Partidos!$X$2,Partidos!$D:$D,B43)+SUMIFS(Partidos!$T:$T,Partidos!$AB:$AB,TRUE,Partidos!$C:$C,Partidos!$X$2,Partidos!$E:$E,B43)+SUMIFS(Partidos!$U:$U,Partidos!$AB:$AB,TRUE,Partidos!$C:$C,Partidos!$X$2,Partidos!$F:$F,B43)+SUMIFS(Partidos!$U:$U,Partidos!$AB:$AB,TRUE,Partidos!$C:$C,Partidos!$X$2,Partidos!$G:$G,B43))</f>
        <v/>
      </c>
      <c r="J43" s="10" t="str">
        <f>IF(B43="","",D43*Partidos!$X$3 + E43*Partidos!$X$4 + I43)</f>
        <v/>
      </c>
    </row>
    <row r="44" spans="1:10" x14ac:dyDescent="0.3">
      <c r="A44" s="2" t="str">
        <f t="shared" si="3"/>
        <v/>
      </c>
      <c r="B44" s="6" t="str">
        <f>Ranking!B42</f>
        <v/>
      </c>
      <c r="C44" s="2" t="str">
        <f>IF(B44="","",COUNTIFS(Partidos!$AB:$AB,TRUE,Partidos!$C:$C,Partidos!$X$2,Partidos!$D:$D,B44)+COUNTIFS(Partidos!$AB:$AB,TRUE,Partidos!$C:$C,Partidos!$X$2,Partidos!$E:$E,B44)+COUNTIFS(Partidos!$AB:$AB,TRUE,Partidos!$C:$C,Partidos!$X$2,Partidos!$F:$F,B44)+COUNTIFS(Partidos!$AB:$AB,TRUE,Partidos!$C:$C,Partidos!$X$2,Partidos!$G:$G,B44))</f>
        <v/>
      </c>
      <c r="D44" s="2" t="str">
        <f>IF(B44="","",COUNTIFS(Partidos!$AB:$AB,TRUE,Partidos!$C:$C,Partidos!$X$2,Partidos!$P:$P,"A",Partidos!$D:$D,B44)+COUNTIFS(Partidos!$AB:$AB,TRUE,Partidos!$C:$C,Partidos!$X$2,Partidos!$P:$P,"A",Partidos!$E:$E,B44)+COUNTIFS(Partidos!$AB:$AB,TRUE,Partidos!$C:$C,Partidos!$X$2,Partidos!$P:$P,"B",Partidos!$F:$F,B44)+COUNTIFS(Partidos!$AB:$AB,TRUE,Partidos!$C:$C,Partidos!$X$2,Partidos!$P:$P,"B",Partidos!$G:$G,B44))</f>
        <v/>
      </c>
      <c r="E44" s="2" t="str">
        <f t="shared" si="4"/>
        <v/>
      </c>
      <c r="F44" s="2" t="str">
        <f>IF(B44="","",SUMIFS(Partidos!$Q:$Q,Partidos!$AB:$AB,TRUE,Partidos!$C:$C,Partidos!$X$2,Partidos!$D:$D,B44)+SUMIFS(Partidos!$Q:$Q,Partidos!$AB:$AB,TRUE,Partidos!$C:$C,Partidos!$X$2,Partidos!$E:$E,B44)+SUMIFS(Partidos!$R:$R,Partidos!$AB:$AB,TRUE,Partidos!$C:$C,Partidos!$X$2,Partidos!$F:$F,B44)+SUMIFS(Partidos!$R:$R,Partidos!$AB:$AB,TRUE,Partidos!$C:$C,Partidos!$X$2,Partidos!$G:$G,B44))</f>
        <v/>
      </c>
      <c r="G44" s="2" t="str">
        <f>IF(B44="","",SUMIFS(Partidos!$R:$R,Partidos!$AB:$AB,TRUE,Partidos!$C:$C,Partidos!$X$2,Partidos!$D:$D,B44)+SUMIFS(Partidos!$R:$R,Partidos!$AB:$AB,TRUE,Partidos!$C:$C,Partidos!$X$2,Partidos!$E:$E,B44)+SUMIFS(Partidos!$Q:$Q,Partidos!$AB:$AB,TRUE,Partidos!$C:$C,Partidos!$X$2,Partidos!$F:$F,B44)+SUMIFS(Partidos!$Q:$Q,Partidos!$AB:$AB,TRUE,Partidos!$C:$C,Partidos!$X$2,Partidos!$G:$G,B44))</f>
        <v/>
      </c>
      <c r="H44" s="2" t="str">
        <f t="shared" si="5"/>
        <v/>
      </c>
      <c r="I44" s="10" t="str">
        <f>IF(B44="","",SUMIFS(Partidos!$T:$T,Partidos!$AB:$AB,TRUE,Partidos!$C:$C,Partidos!$X$2,Partidos!$D:$D,B44)+SUMIFS(Partidos!$T:$T,Partidos!$AB:$AB,TRUE,Partidos!$C:$C,Partidos!$X$2,Partidos!$E:$E,B44)+SUMIFS(Partidos!$U:$U,Partidos!$AB:$AB,TRUE,Partidos!$C:$C,Partidos!$X$2,Partidos!$F:$F,B44)+SUMIFS(Partidos!$U:$U,Partidos!$AB:$AB,TRUE,Partidos!$C:$C,Partidos!$X$2,Partidos!$G:$G,B44))</f>
        <v/>
      </c>
      <c r="J44" s="10" t="str">
        <f>IF(B44="","",D44*Partidos!$X$3 + E44*Partidos!$X$4 + I44)</f>
        <v/>
      </c>
    </row>
    <row r="45" spans="1:10" x14ac:dyDescent="0.3">
      <c r="A45" s="2" t="str">
        <f t="shared" si="3"/>
        <v/>
      </c>
      <c r="B45" s="6" t="str">
        <f>Ranking!B43</f>
        <v/>
      </c>
      <c r="C45" s="2" t="str">
        <f>IF(B45="","",COUNTIFS(Partidos!$AB:$AB,TRUE,Partidos!$C:$C,Partidos!$X$2,Partidos!$D:$D,B45)+COUNTIFS(Partidos!$AB:$AB,TRUE,Partidos!$C:$C,Partidos!$X$2,Partidos!$E:$E,B45)+COUNTIFS(Partidos!$AB:$AB,TRUE,Partidos!$C:$C,Partidos!$X$2,Partidos!$F:$F,B45)+COUNTIFS(Partidos!$AB:$AB,TRUE,Partidos!$C:$C,Partidos!$X$2,Partidos!$G:$G,B45))</f>
        <v/>
      </c>
      <c r="D45" s="2" t="str">
        <f>IF(B45="","",COUNTIFS(Partidos!$AB:$AB,TRUE,Partidos!$C:$C,Partidos!$X$2,Partidos!$P:$P,"A",Partidos!$D:$D,B45)+COUNTIFS(Partidos!$AB:$AB,TRUE,Partidos!$C:$C,Partidos!$X$2,Partidos!$P:$P,"A",Partidos!$E:$E,B45)+COUNTIFS(Partidos!$AB:$AB,TRUE,Partidos!$C:$C,Partidos!$X$2,Partidos!$P:$P,"B",Partidos!$F:$F,B45)+COUNTIFS(Partidos!$AB:$AB,TRUE,Partidos!$C:$C,Partidos!$X$2,Partidos!$P:$P,"B",Partidos!$G:$G,B45))</f>
        <v/>
      </c>
      <c r="E45" s="2" t="str">
        <f t="shared" si="4"/>
        <v/>
      </c>
      <c r="F45" s="2" t="str">
        <f>IF(B45="","",SUMIFS(Partidos!$Q:$Q,Partidos!$AB:$AB,TRUE,Partidos!$C:$C,Partidos!$X$2,Partidos!$D:$D,B45)+SUMIFS(Partidos!$Q:$Q,Partidos!$AB:$AB,TRUE,Partidos!$C:$C,Partidos!$X$2,Partidos!$E:$E,B45)+SUMIFS(Partidos!$R:$R,Partidos!$AB:$AB,TRUE,Partidos!$C:$C,Partidos!$X$2,Partidos!$F:$F,B45)+SUMIFS(Partidos!$R:$R,Partidos!$AB:$AB,TRUE,Partidos!$C:$C,Partidos!$X$2,Partidos!$G:$G,B45))</f>
        <v/>
      </c>
      <c r="G45" s="2" t="str">
        <f>IF(B45="","",SUMIFS(Partidos!$R:$R,Partidos!$AB:$AB,TRUE,Partidos!$C:$C,Partidos!$X$2,Partidos!$D:$D,B45)+SUMIFS(Partidos!$R:$R,Partidos!$AB:$AB,TRUE,Partidos!$C:$C,Partidos!$X$2,Partidos!$E:$E,B45)+SUMIFS(Partidos!$Q:$Q,Partidos!$AB:$AB,TRUE,Partidos!$C:$C,Partidos!$X$2,Partidos!$F:$F,B45)+SUMIFS(Partidos!$Q:$Q,Partidos!$AB:$AB,TRUE,Partidos!$C:$C,Partidos!$X$2,Partidos!$G:$G,B45))</f>
        <v/>
      </c>
      <c r="H45" s="2" t="str">
        <f t="shared" si="5"/>
        <v/>
      </c>
      <c r="I45" s="10" t="str">
        <f>IF(B45="","",SUMIFS(Partidos!$T:$T,Partidos!$AB:$AB,TRUE,Partidos!$C:$C,Partidos!$X$2,Partidos!$D:$D,B45)+SUMIFS(Partidos!$T:$T,Partidos!$AB:$AB,TRUE,Partidos!$C:$C,Partidos!$X$2,Partidos!$E:$E,B45)+SUMIFS(Partidos!$U:$U,Partidos!$AB:$AB,TRUE,Partidos!$C:$C,Partidos!$X$2,Partidos!$F:$F,B45)+SUMIFS(Partidos!$U:$U,Partidos!$AB:$AB,TRUE,Partidos!$C:$C,Partidos!$X$2,Partidos!$G:$G,B45))</f>
        <v/>
      </c>
      <c r="J45" s="10" t="str">
        <f>IF(B45="","",D45*Partidos!$X$3 + E45*Partidos!$X$4 + I45)</f>
        <v/>
      </c>
    </row>
    <row r="46" spans="1:10" x14ac:dyDescent="0.3">
      <c r="A46" s="2" t="str">
        <f t="shared" si="3"/>
        <v/>
      </c>
      <c r="B46" s="6" t="str">
        <f>Ranking!B44</f>
        <v/>
      </c>
      <c r="C46" s="2" t="str">
        <f>IF(B46="","",COUNTIFS(Partidos!$AB:$AB,TRUE,Partidos!$C:$C,Partidos!$X$2,Partidos!$D:$D,B46)+COUNTIFS(Partidos!$AB:$AB,TRUE,Partidos!$C:$C,Partidos!$X$2,Partidos!$E:$E,B46)+COUNTIFS(Partidos!$AB:$AB,TRUE,Partidos!$C:$C,Partidos!$X$2,Partidos!$F:$F,B46)+COUNTIFS(Partidos!$AB:$AB,TRUE,Partidos!$C:$C,Partidos!$X$2,Partidos!$G:$G,B46))</f>
        <v/>
      </c>
      <c r="D46" s="2" t="str">
        <f>IF(B46="","",COUNTIFS(Partidos!$AB:$AB,TRUE,Partidos!$C:$C,Partidos!$X$2,Partidos!$P:$P,"A",Partidos!$D:$D,B46)+COUNTIFS(Partidos!$AB:$AB,TRUE,Partidos!$C:$C,Partidos!$X$2,Partidos!$P:$P,"A",Partidos!$E:$E,B46)+COUNTIFS(Partidos!$AB:$AB,TRUE,Partidos!$C:$C,Partidos!$X$2,Partidos!$P:$P,"B",Partidos!$F:$F,B46)+COUNTIFS(Partidos!$AB:$AB,TRUE,Partidos!$C:$C,Partidos!$X$2,Partidos!$P:$P,"B",Partidos!$G:$G,B46))</f>
        <v/>
      </c>
      <c r="E46" s="2" t="str">
        <f t="shared" si="4"/>
        <v/>
      </c>
      <c r="F46" s="2" t="str">
        <f>IF(B46="","",SUMIFS(Partidos!$Q:$Q,Partidos!$AB:$AB,TRUE,Partidos!$C:$C,Partidos!$X$2,Partidos!$D:$D,B46)+SUMIFS(Partidos!$Q:$Q,Partidos!$AB:$AB,TRUE,Partidos!$C:$C,Partidos!$X$2,Partidos!$E:$E,B46)+SUMIFS(Partidos!$R:$R,Partidos!$AB:$AB,TRUE,Partidos!$C:$C,Partidos!$X$2,Partidos!$F:$F,B46)+SUMIFS(Partidos!$R:$R,Partidos!$AB:$AB,TRUE,Partidos!$C:$C,Partidos!$X$2,Partidos!$G:$G,B46))</f>
        <v/>
      </c>
      <c r="G46" s="2" t="str">
        <f>IF(B46="","",SUMIFS(Partidos!$R:$R,Partidos!$AB:$AB,TRUE,Partidos!$C:$C,Partidos!$X$2,Partidos!$D:$D,B46)+SUMIFS(Partidos!$R:$R,Partidos!$AB:$AB,TRUE,Partidos!$C:$C,Partidos!$X$2,Partidos!$E:$E,B46)+SUMIFS(Partidos!$Q:$Q,Partidos!$AB:$AB,TRUE,Partidos!$C:$C,Partidos!$X$2,Partidos!$F:$F,B46)+SUMIFS(Partidos!$Q:$Q,Partidos!$AB:$AB,TRUE,Partidos!$C:$C,Partidos!$X$2,Partidos!$G:$G,B46))</f>
        <v/>
      </c>
      <c r="H46" s="2" t="str">
        <f t="shared" si="5"/>
        <v/>
      </c>
      <c r="I46" s="10" t="str">
        <f>IF(B46="","",SUMIFS(Partidos!$T:$T,Partidos!$AB:$AB,TRUE,Partidos!$C:$C,Partidos!$X$2,Partidos!$D:$D,B46)+SUMIFS(Partidos!$T:$T,Partidos!$AB:$AB,TRUE,Partidos!$C:$C,Partidos!$X$2,Partidos!$E:$E,B46)+SUMIFS(Partidos!$U:$U,Partidos!$AB:$AB,TRUE,Partidos!$C:$C,Partidos!$X$2,Partidos!$F:$F,B46)+SUMIFS(Partidos!$U:$U,Partidos!$AB:$AB,TRUE,Partidos!$C:$C,Partidos!$X$2,Partidos!$G:$G,B46))</f>
        <v/>
      </c>
      <c r="J46" s="10" t="str">
        <f>IF(B46="","",D46*Partidos!$X$3 + E46*Partidos!$X$4 + I46)</f>
        <v/>
      </c>
    </row>
    <row r="47" spans="1:10" x14ac:dyDescent="0.3">
      <c r="A47" s="2" t="str">
        <f t="shared" si="3"/>
        <v/>
      </c>
      <c r="B47" s="6" t="str">
        <f>Ranking!B45</f>
        <v/>
      </c>
      <c r="C47" s="2" t="str">
        <f>IF(B47="","",COUNTIFS(Partidos!$AB:$AB,TRUE,Partidos!$C:$C,Partidos!$X$2,Partidos!$D:$D,B47)+COUNTIFS(Partidos!$AB:$AB,TRUE,Partidos!$C:$C,Partidos!$X$2,Partidos!$E:$E,B47)+COUNTIFS(Partidos!$AB:$AB,TRUE,Partidos!$C:$C,Partidos!$X$2,Partidos!$F:$F,B47)+COUNTIFS(Partidos!$AB:$AB,TRUE,Partidos!$C:$C,Partidos!$X$2,Partidos!$G:$G,B47))</f>
        <v/>
      </c>
      <c r="D47" s="2" t="str">
        <f>IF(B47="","",COUNTIFS(Partidos!$AB:$AB,TRUE,Partidos!$C:$C,Partidos!$X$2,Partidos!$P:$P,"A",Partidos!$D:$D,B47)+COUNTIFS(Partidos!$AB:$AB,TRUE,Partidos!$C:$C,Partidos!$X$2,Partidos!$P:$P,"A",Partidos!$E:$E,B47)+COUNTIFS(Partidos!$AB:$AB,TRUE,Partidos!$C:$C,Partidos!$X$2,Partidos!$P:$P,"B",Partidos!$F:$F,B47)+COUNTIFS(Partidos!$AB:$AB,TRUE,Partidos!$C:$C,Partidos!$X$2,Partidos!$P:$P,"B",Partidos!$G:$G,B47))</f>
        <v/>
      </c>
      <c r="E47" s="2" t="str">
        <f t="shared" si="4"/>
        <v/>
      </c>
      <c r="F47" s="2" t="str">
        <f>IF(B47="","",SUMIFS(Partidos!$Q:$Q,Partidos!$AB:$AB,TRUE,Partidos!$C:$C,Partidos!$X$2,Partidos!$D:$D,B47)+SUMIFS(Partidos!$Q:$Q,Partidos!$AB:$AB,TRUE,Partidos!$C:$C,Partidos!$X$2,Partidos!$E:$E,B47)+SUMIFS(Partidos!$R:$R,Partidos!$AB:$AB,TRUE,Partidos!$C:$C,Partidos!$X$2,Partidos!$F:$F,B47)+SUMIFS(Partidos!$R:$R,Partidos!$AB:$AB,TRUE,Partidos!$C:$C,Partidos!$X$2,Partidos!$G:$G,B47))</f>
        <v/>
      </c>
      <c r="G47" s="2" t="str">
        <f>IF(B47="","",SUMIFS(Partidos!$R:$R,Partidos!$AB:$AB,TRUE,Partidos!$C:$C,Partidos!$X$2,Partidos!$D:$D,B47)+SUMIFS(Partidos!$R:$R,Partidos!$AB:$AB,TRUE,Partidos!$C:$C,Partidos!$X$2,Partidos!$E:$E,B47)+SUMIFS(Partidos!$Q:$Q,Partidos!$AB:$AB,TRUE,Partidos!$C:$C,Partidos!$X$2,Partidos!$F:$F,B47)+SUMIFS(Partidos!$Q:$Q,Partidos!$AB:$AB,TRUE,Partidos!$C:$C,Partidos!$X$2,Partidos!$G:$G,B47))</f>
        <v/>
      </c>
      <c r="H47" s="2" t="str">
        <f t="shared" si="5"/>
        <v/>
      </c>
      <c r="I47" s="10" t="str">
        <f>IF(B47="","",SUMIFS(Partidos!$T:$T,Partidos!$AB:$AB,TRUE,Partidos!$C:$C,Partidos!$X$2,Partidos!$D:$D,B47)+SUMIFS(Partidos!$T:$T,Partidos!$AB:$AB,TRUE,Partidos!$C:$C,Partidos!$X$2,Partidos!$E:$E,B47)+SUMIFS(Partidos!$U:$U,Partidos!$AB:$AB,TRUE,Partidos!$C:$C,Partidos!$X$2,Partidos!$F:$F,B47)+SUMIFS(Partidos!$U:$U,Partidos!$AB:$AB,TRUE,Partidos!$C:$C,Partidos!$X$2,Partidos!$G:$G,B47))</f>
        <v/>
      </c>
      <c r="J47" s="10" t="str">
        <f>IF(B47="","",D47*Partidos!$X$3 + E47*Partidos!$X$4 + I47)</f>
        <v/>
      </c>
    </row>
    <row r="48" spans="1:10" x14ac:dyDescent="0.3">
      <c r="A48" s="2" t="str">
        <f t="shared" si="3"/>
        <v/>
      </c>
      <c r="B48" s="6" t="str">
        <f>Ranking!B46</f>
        <v/>
      </c>
      <c r="C48" s="2" t="str">
        <f>IF(B48="","",COUNTIFS(Partidos!$AB:$AB,TRUE,Partidos!$C:$C,Partidos!$X$2,Partidos!$D:$D,B48)+COUNTIFS(Partidos!$AB:$AB,TRUE,Partidos!$C:$C,Partidos!$X$2,Partidos!$E:$E,B48)+COUNTIFS(Partidos!$AB:$AB,TRUE,Partidos!$C:$C,Partidos!$X$2,Partidos!$F:$F,B48)+COUNTIFS(Partidos!$AB:$AB,TRUE,Partidos!$C:$C,Partidos!$X$2,Partidos!$G:$G,B48))</f>
        <v/>
      </c>
      <c r="D48" s="2" t="str">
        <f>IF(B48="","",COUNTIFS(Partidos!$AB:$AB,TRUE,Partidos!$C:$C,Partidos!$X$2,Partidos!$P:$P,"A",Partidos!$D:$D,B48)+COUNTIFS(Partidos!$AB:$AB,TRUE,Partidos!$C:$C,Partidos!$X$2,Partidos!$P:$P,"A",Partidos!$E:$E,B48)+COUNTIFS(Partidos!$AB:$AB,TRUE,Partidos!$C:$C,Partidos!$X$2,Partidos!$P:$P,"B",Partidos!$F:$F,B48)+COUNTIFS(Partidos!$AB:$AB,TRUE,Partidos!$C:$C,Partidos!$X$2,Partidos!$P:$P,"B",Partidos!$G:$G,B48))</f>
        <v/>
      </c>
      <c r="E48" s="2" t="str">
        <f t="shared" si="4"/>
        <v/>
      </c>
      <c r="F48" s="2" t="str">
        <f>IF(B48="","",SUMIFS(Partidos!$Q:$Q,Partidos!$AB:$AB,TRUE,Partidos!$C:$C,Partidos!$X$2,Partidos!$D:$D,B48)+SUMIFS(Partidos!$Q:$Q,Partidos!$AB:$AB,TRUE,Partidos!$C:$C,Partidos!$X$2,Partidos!$E:$E,B48)+SUMIFS(Partidos!$R:$R,Partidos!$AB:$AB,TRUE,Partidos!$C:$C,Partidos!$X$2,Partidos!$F:$F,B48)+SUMIFS(Partidos!$R:$R,Partidos!$AB:$AB,TRUE,Partidos!$C:$C,Partidos!$X$2,Partidos!$G:$G,B48))</f>
        <v/>
      </c>
      <c r="G48" s="2" t="str">
        <f>IF(B48="","",SUMIFS(Partidos!$R:$R,Partidos!$AB:$AB,TRUE,Partidos!$C:$C,Partidos!$X$2,Partidos!$D:$D,B48)+SUMIFS(Partidos!$R:$R,Partidos!$AB:$AB,TRUE,Partidos!$C:$C,Partidos!$X$2,Partidos!$E:$E,B48)+SUMIFS(Partidos!$Q:$Q,Partidos!$AB:$AB,TRUE,Partidos!$C:$C,Partidos!$X$2,Partidos!$F:$F,B48)+SUMIFS(Partidos!$Q:$Q,Partidos!$AB:$AB,TRUE,Partidos!$C:$C,Partidos!$X$2,Partidos!$G:$G,B48))</f>
        <v/>
      </c>
      <c r="H48" s="2" t="str">
        <f t="shared" si="5"/>
        <v/>
      </c>
      <c r="I48" s="10" t="str">
        <f>IF(B48="","",SUMIFS(Partidos!$T:$T,Partidos!$AB:$AB,TRUE,Partidos!$C:$C,Partidos!$X$2,Partidos!$D:$D,B48)+SUMIFS(Partidos!$T:$T,Partidos!$AB:$AB,TRUE,Partidos!$C:$C,Partidos!$X$2,Partidos!$E:$E,B48)+SUMIFS(Partidos!$U:$U,Partidos!$AB:$AB,TRUE,Partidos!$C:$C,Partidos!$X$2,Partidos!$F:$F,B48)+SUMIFS(Partidos!$U:$U,Partidos!$AB:$AB,TRUE,Partidos!$C:$C,Partidos!$X$2,Partidos!$G:$G,B48))</f>
        <v/>
      </c>
      <c r="J48" s="10" t="str">
        <f>IF(B48="","",D48*Partidos!$X$3 + E48*Partidos!$X$4 + I48)</f>
        <v/>
      </c>
    </row>
    <row r="49" spans="1:10" x14ac:dyDescent="0.3">
      <c r="A49" s="2" t="str">
        <f t="shared" si="3"/>
        <v/>
      </c>
      <c r="B49" s="6" t="str">
        <f>Ranking!B47</f>
        <v/>
      </c>
      <c r="C49" s="2" t="str">
        <f>IF(B49="","",COUNTIFS(Partidos!$AB:$AB,TRUE,Partidos!$C:$C,Partidos!$X$2,Partidos!$D:$D,B49)+COUNTIFS(Partidos!$AB:$AB,TRUE,Partidos!$C:$C,Partidos!$X$2,Partidos!$E:$E,B49)+COUNTIFS(Partidos!$AB:$AB,TRUE,Partidos!$C:$C,Partidos!$X$2,Partidos!$F:$F,B49)+COUNTIFS(Partidos!$AB:$AB,TRUE,Partidos!$C:$C,Partidos!$X$2,Partidos!$G:$G,B49))</f>
        <v/>
      </c>
      <c r="D49" s="2" t="str">
        <f>IF(B49="","",COUNTIFS(Partidos!$AB:$AB,TRUE,Partidos!$C:$C,Partidos!$X$2,Partidos!$P:$P,"A",Partidos!$D:$D,B49)+COUNTIFS(Partidos!$AB:$AB,TRUE,Partidos!$C:$C,Partidos!$X$2,Partidos!$P:$P,"A",Partidos!$E:$E,B49)+COUNTIFS(Partidos!$AB:$AB,TRUE,Partidos!$C:$C,Partidos!$X$2,Partidos!$P:$P,"B",Partidos!$F:$F,B49)+COUNTIFS(Partidos!$AB:$AB,TRUE,Partidos!$C:$C,Partidos!$X$2,Partidos!$P:$P,"B",Partidos!$G:$G,B49))</f>
        <v/>
      </c>
      <c r="E49" s="2" t="str">
        <f t="shared" si="4"/>
        <v/>
      </c>
      <c r="F49" s="2" t="str">
        <f>IF(B49="","",SUMIFS(Partidos!$Q:$Q,Partidos!$AB:$AB,TRUE,Partidos!$C:$C,Partidos!$X$2,Partidos!$D:$D,B49)+SUMIFS(Partidos!$Q:$Q,Partidos!$AB:$AB,TRUE,Partidos!$C:$C,Partidos!$X$2,Partidos!$E:$E,B49)+SUMIFS(Partidos!$R:$R,Partidos!$AB:$AB,TRUE,Partidos!$C:$C,Partidos!$X$2,Partidos!$F:$F,B49)+SUMIFS(Partidos!$R:$R,Partidos!$AB:$AB,TRUE,Partidos!$C:$C,Partidos!$X$2,Partidos!$G:$G,B49))</f>
        <v/>
      </c>
      <c r="G49" s="2" t="str">
        <f>IF(B49="","",SUMIFS(Partidos!$R:$R,Partidos!$AB:$AB,TRUE,Partidos!$C:$C,Partidos!$X$2,Partidos!$D:$D,B49)+SUMIFS(Partidos!$R:$R,Partidos!$AB:$AB,TRUE,Partidos!$C:$C,Partidos!$X$2,Partidos!$E:$E,B49)+SUMIFS(Partidos!$Q:$Q,Partidos!$AB:$AB,TRUE,Partidos!$C:$C,Partidos!$X$2,Partidos!$F:$F,B49)+SUMIFS(Partidos!$Q:$Q,Partidos!$AB:$AB,TRUE,Partidos!$C:$C,Partidos!$X$2,Partidos!$G:$G,B49))</f>
        <v/>
      </c>
      <c r="H49" s="2" t="str">
        <f t="shared" si="5"/>
        <v/>
      </c>
      <c r="I49" s="10" t="str">
        <f>IF(B49="","",SUMIFS(Partidos!$T:$T,Partidos!$AB:$AB,TRUE,Partidos!$C:$C,Partidos!$X$2,Partidos!$D:$D,B49)+SUMIFS(Partidos!$T:$T,Partidos!$AB:$AB,TRUE,Partidos!$C:$C,Partidos!$X$2,Partidos!$E:$E,B49)+SUMIFS(Partidos!$U:$U,Partidos!$AB:$AB,TRUE,Partidos!$C:$C,Partidos!$X$2,Partidos!$F:$F,B49)+SUMIFS(Partidos!$U:$U,Partidos!$AB:$AB,TRUE,Partidos!$C:$C,Partidos!$X$2,Partidos!$G:$G,B49))</f>
        <v/>
      </c>
      <c r="J49" s="10" t="str">
        <f>IF(B49="","",D49*Partidos!$X$3 + E49*Partidos!$X$4 + I49)</f>
        <v/>
      </c>
    </row>
    <row r="50" spans="1:10" x14ac:dyDescent="0.3">
      <c r="A50" s="2" t="str">
        <f t="shared" si="3"/>
        <v/>
      </c>
      <c r="B50" s="6" t="str">
        <f>Ranking!B48</f>
        <v/>
      </c>
      <c r="C50" s="2" t="str">
        <f>IF(B50="","",COUNTIFS(Partidos!$AB:$AB,TRUE,Partidos!$C:$C,Partidos!$X$2,Partidos!$D:$D,B50)+COUNTIFS(Partidos!$AB:$AB,TRUE,Partidos!$C:$C,Partidos!$X$2,Partidos!$E:$E,B50)+COUNTIFS(Partidos!$AB:$AB,TRUE,Partidos!$C:$C,Partidos!$X$2,Partidos!$F:$F,B50)+COUNTIFS(Partidos!$AB:$AB,TRUE,Partidos!$C:$C,Partidos!$X$2,Partidos!$G:$G,B50))</f>
        <v/>
      </c>
      <c r="D50" s="2" t="str">
        <f>IF(B50="","",COUNTIFS(Partidos!$AB:$AB,TRUE,Partidos!$C:$C,Partidos!$X$2,Partidos!$P:$P,"A",Partidos!$D:$D,B50)+COUNTIFS(Partidos!$AB:$AB,TRUE,Partidos!$C:$C,Partidos!$X$2,Partidos!$P:$P,"A",Partidos!$E:$E,B50)+COUNTIFS(Partidos!$AB:$AB,TRUE,Partidos!$C:$C,Partidos!$X$2,Partidos!$P:$P,"B",Partidos!$F:$F,B50)+COUNTIFS(Partidos!$AB:$AB,TRUE,Partidos!$C:$C,Partidos!$X$2,Partidos!$P:$P,"B",Partidos!$G:$G,B50))</f>
        <v/>
      </c>
      <c r="E50" s="2" t="str">
        <f t="shared" si="4"/>
        <v/>
      </c>
      <c r="F50" s="2" t="str">
        <f>IF(B50="","",SUMIFS(Partidos!$Q:$Q,Partidos!$AB:$AB,TRUE,Partidos!$C:$C,Partidos!$X$2,Partidos!$D:$D,B50)+SUMIFS(Partidos!$Q:$Q,Partidos!$AB:$AB,TRUE,Partidos!$C:$C,Partidos!$X$2,Partidos!$E:$E,B50)+SUMIFS(Partidos!$R:$R,Partidos!$AB:$AB,TRUE,Partidos!$C:$C,Partidos!$X$2,Partidos!$F:$F,B50)+SUMIFS(Partidos!$R:$R,Partidos!$AB:$AB,TRUE,Partidos!$C:$C,Partidos!$X$2,Partidos!$G:$G,B50))</f>
        <v/>
      </c>
      <c r="G50" s="2" t="str">
        <f>IF(B50="","",SUMIFS(Partidos!$R:$R,Partidos!$AB:$AB,TRUE,Partidos!$C:$C,Partidos!$X$2,Partidos!$D:$D,B50)+SUMIFS(Partidos!$R:$R,Partidos!$AB:$AB,TRUE,Partidos!$C:$C,Partidos!$X$2,Partidos!$E:$E,B50)+SUMIFS(Partidos!$Q:$Q,Partidos!$AB:$AB,TRUE,Partidos!$C:$C,Partidos!$X$2,Partidos!$F:$F,B50)+SUMIFS(Partidos!$Q:$Q,Partidos!$AB:$AB,TRUE,Partidos!$C:$C,Partidos!$X$2,Partidos!$G:$G,B50))</f>
        <v/>
      </c>
      <c r="H50" s="2" t="str">
        <f t="shared" si="5"/>
        <v/>
      </c>
      <c r="I50" s="10" t="str">
        <f>IF(B50="","",SUMIFS(Partidos!$T:$T,Partidos!$AB:$AB,TRUE,Partidos!$C:$C,Partidos!$X$2,Partidos!$D:$D,B50)+SUMIFS(Partidos!$T:$T,Partidos!$AB:$AB,TRUE,Partidos!$C:$C,Partidos!$X$2,Partidos!$E:$E,B50)+SUMIFS(Partidos!$U:$U,Partidos!$AB:$AB,TRUE,Partidos!$C:$C,Partidos!$X$2,Partidos!$F:$F,B50)+SUMIFS(Partidos!$U:$U,Partidos!$AB:$AB,TRUE,Partidos!$C:$C,Partidos!$X$2,Partidos!$G:$G,B50))</f>
        <v/>
      </c>
      <c r="J50" s="10" t="str">
        <f>IF(B50="","",D50*Partidos!$X$3 + E50*Partidos!$X$4 + I50)</f>
        <v/>
      </c>
    </row>
    <row r="51" spans="1:10" x14ac:dyDescent="0.3">
      <c r="A51" s="2" t="str">
        <f t="shared" si="3"/>
        <v/>
      </c>
      <c r="B51" s="6" t="str">
        <f>Ranking!B49</f>
        <v/>
      </c>
      <c r="C51" s="2" t="str">
        <f>IF(B51="","",COUNTIFS(Partidos!$AB:$AB,TRUE,Partidos!$C:$C,Partidos!$X$2,Partidos!$D:$D,B51)+COUNTIFS(Partidos!$AB:$AB,TRUE,Partidos!$C:$C,Partidos!$X$2,Partidos!$E:$E,B51)+COUNTIFS(Partidos!$AB:$AB,TRUE,Partidos!$C:$C,Partidos!$X$2,Partidos!$F:$F,B51)+COUNTIFS(Partidos!$AB:$AB,TRUE,Partidos!$C:$C,Partidos!$X$2,Partidos!$G:$G,B51))</f>
        <v/>
      </c>
      <c r="D51" s="2" t="str">
        <f>IF(B51="","",COUNTIFS(Partidos!$AB:$AB,TRUE,Partidos!$C:$C,Partidos!$X$2,Partidos!$P:$P,"A",Partidos!$D:$D,B51)+COUNTIFS(Partidos!$AB:$AB,TRUE,Partidos!$C:$C,Partidos!$X$2,Partidos!$P:$P,"A",Partidos!$E:$E,B51)+COUNTIFS(Partidos!$AB:$AB,TRUE,Partidos!$C:$C,Partidos!$X$2,Partidos!$P:$P,"B",Partidos!$F:$F,B51)+COUNTIFS(Partidos!$AB:$AB,TRUE,Partidos!$C:$C,Partidos!$X$2,Partidos!$P:$P,"B",Partidos!$G:$G,B51))</f>
        <v/>
      </c>
      <c r="E51" s="2" t="str">
        <f t="shared" si="4"/>
        <v/>
      </c>
      <c r="F51" s="2" t="str">
        <f>IF(B51="","",SUMIFS(Partidos!$Q:$Q,Partidos!$AB:$AB,TRUE,Partidos!$C:$C,Partidos!$X$2,Partidos!$D:$D,B51)+SUMIFS(Partidos!$Q:$Q,Partidos!$AB:$AB,TRUE,Partidos!$C:$C,Partidos!$X$2,Partidos!$E:$E,B51)+SUMIFS(Partidos!$R:$R,Partidos!$AB:$AB,TRUE,Partidos!$C:$C,Partidos!$X$2,Partidos!$F:$F,B51)+SUMIFS(Partidos!$R:$R,Partidos!$AB:$AB,TRUE,Partidos!$C:$C,Partidos!$X$2,Partidos!$G:$G,B51))</f>
        <v/>
      </c>
      <c r="G51" s="2" t="str">
        <f>IF(B51="","",SUMIFS(Partidos!$R:$R,Partidos!$AB:$AB,TRUE,Partidos!$C:$C,Partidos!$X$2,Partidos!$D:$D,B51)+SUMIFS(Partidos!$R:$R,Partidos!$AB:$AB,TRUE,Partidos!$C:$C,Partidos!$X$2,Partidos!$E:$E,B51)+SUMIFS(Partidos!$Q:$Q,Partidos!$AB:$AB,TRUE,Partidos!$C:$C,Partidos!$X$2,Partidos!$F:$F,B51)+SUMIFS(Partidos!$Q:$Q,Partidos!$AB:$AB,TRUE,Partidos!$C:$C,Partidos!$X$2,Partidos!$G:$G,B51))</f>
        <v/>
      </c>
      <c r="H51" s="2" t="str">
        <f t="shared" si="5"/>
        <v/>
      </c>
      <c r="I51" s="10" t="str">
        <f>IF(B51="","",SUMIFS(Partidos!$T:$T,Partidos!$AB:$AB,TRUE,Partidos!$C:$C,Partidos!$X$2,Partidos!$D:$D,B51)+SUMIFS(Partidos!$T:$T,Partidos!$AB:$AB,TRUE,Partidos!$C:$C,Partidos!$X$2,Partidos!$E:$E,B51)+SUMIFS(Partidos!$U:$U,Partidos!$AB:$AB,TRUE,Partidos!$C:$C,Partidos!$X$2,Partidos!$F:$F,B51)+SUMIFS(Partidos!$U:$U,Partidos!$AB:$AB,TRUE,Partidos!$C:$C,Partidos!$X$2,Partidos!$G:$G,B51))</f>
        <v/>
      </c>
      <c r="J51" s="10" t="str">
        <f>IF(B51="","",D51*Partidos!$X$3 + E51*Partidos!$X$4 + I51)</f>
        <v/>
      </c>
    </row>
    <row r="52" spans="1:10" x14ac:dyDescent="0.3">
      <c r="A52" s="2" t="str">
        <f t="shared" si="3"/>
        <v/>
      </c>
      <c r="B52" s="6" t="str">
        <f>Ranking!B50</f>
        <v/>
      </c>
      <c r="C52" s="2" t="str">
        <f>IF(B52="","",COUNTIFS(Partidos!$AB:$AB,TRUE,Partidos!$C:$C,Partidos!$X$2,Partidos!$D:$D,B52)+COUNTIFS(Partidos!$AB:$AB,TRUE,Partidos!$C:$C,Partidos!$X$2,Partidos!$E:$E,B52)+COUNTIFS(Partidos!$AB:$AB,TRUE,Partidos!$C:$C,Partidos!$X$2,Partidos!$F:$F,B52)+COUNTIFS(Partidos!$AB:$AB,TRUE,Partidos!$C:$C,Partidos!$X$2,Partidos!$G:$G,B52))</f>
        <v/>
      </c>
      <c r="D52" s="2" t="str">
        <f>IF(B52="","",COUNTIFS(Partidos!$AB:$AB,TRUE,Partidos!$C:$C,Partidos!$X$2,Partidos!$P:$P,"A",Partidos!$D:$D,B52)+COUNTIFS(Partidos!$AB:$AB,TRUE,Partidos!$C:$C,Partidos!$X$2,Partidos!$P:$P,"A",Partidos!$E:$E,B52)+COUNTIFS(Partidos!$AB:$AB,TRUE,Partidos!$C:$C,Partidos!$X$2,Partidos!$P:$P,"B",Partidos!$F:$F,B52)+COUNTIFS(Partidos!$AB:$AB,TRUE,Partidos!$C:$C,Partidos!$X$2,Partidos!$P:$P,"B",Partidos!$G:$G,B52))</f>
        <v/>
      </c>
      <c r="E52" s="2" t="str">
        <f t="shared" si="4"/>
        <v/>
      </c>
      <c r="F52" s="2" t="str">
        <f>IF(B52="","",SUMIFS(Partidos!$Q:$Q,Partidos!$AB:$AB,TRUE,Partidos!$C:$C,Partidos!$X$2,Partidos!$D:$D,B52)+SUMIFS(Partidos!$Q:$Q,Partidos!$AB:$AB,TRUE,Partidos!$C:$C,Partidos!$X$2,Partidos!$E:$E,B52)+SUMIFS(Partidos!$R:$R,Partidos!$AB:$AB,TRUE,Partidos!$C:$C,Partidos!$X$2,Partidos!$F:$F,B52)+SUMIFS(Partidos!$R:$R,Partidos!$AB:$AB,TRUE,Partidos!$C:$C,Partidos!$X$2,Partidos!$G:$G,B52))</f>
        <v/>
      </c>
      <c r="G52" s="2" t="str">
        <f>IF(B52="","",SUMIFS(Partidos!$R:$R,Partidos!$AB:$AB,TRUE,Partidos!$C:$C,Partidos!$X$2,Partidos!$D:$D,B52)+SUMIFS(Partidos!$R:$R,Partidos!$AB:$AB,TRUE,Partidos!$C:$C,Partidos!$X$2,Partidos!$E:$E,B52)+SUMIFS(Partidos!$Q:$Q,Partidos!$AB:$AB,TRUE,Partidos!$C:$C,Partidos!$X$2,Partidos!$F:$F,B52)+SUMIFS(Partidos!$Q:$Q,Partidos!$AB:$AB,TRUE,Partidos!$C:$C,Partidos!$X$2,Partidos!$G:$G,B52))</f>
        <v/>
      </c>
      <c r="H52" s="2" t="str">
        <f t="shared" si="5"/>
        <v/>
      </c>
      <c r="I52" s="10" t="str">
        <f>IF(B52="","",SUMIFS(Partidos!$T:$T,Partidos!$AB:$AB,TRUE,Partidos!$C:$C,Partidos!$X$2,Partidos!$D:$D,B52)+SUMIFS(Partidos!$T:$T,Partidos!$AB:$AB,TRUE,Partidos!$C:$C,Partidos!$X$2,Partidos!$E:$E,B52)+SUMIFS(Partidos!$U:$U,Partidos!$AB:$AB,TRUE,Partidos!$C:$C,Partidos!$X$2,Partidos!$F:$F,B52)+SUMIFS(Partidos!$U:$U,Partidos!$AB:$AB,TRUE,Partidos!$C:$C,Partidos!$X$2,Partidos!$G:$G,B52))</f>
        <v/>
      </c>
      <c r="J52" s="10" t="str">
        <f>IF(B52="","",D52*Partidos!$X$3 + E52*Partidos!$X$4 + I52)</f>
        <v/>
      </c>
    </row>
    <row r="53" spans="1:10" x14ac:dyDescent="0.3">
      <c r="A53" s="2" t="str">
        <f t="shared" si="3"/>
        <v/>
      </c>
      <c r="B53" s="6" t="str">
        <f>Ranking!B51</f>
        <v/>
      </c>
      <c r="C53" s="2" t="str">
        <f>IF(B53="","",COUNTIFS(Partidos!$AB:$AB,TRUE,Partidos!$C:$C,Partidos!$X$2,Partidos!$D:$D,B53)+COUNTIFS(Partidos!$AB:$AB,TRUE,Partidos!$C:$C,Partidos!$X$2,Partidos!$E:$E,B53)+COUNTIFS(Partidos!$AB:$AB,TRUE,Partidos!$C:$C,Partidos!$X$2,Partidos!$F:$F,B53)+COUNTIFS(Partidos!$AB:$AB,TRUE,Partidos!$C:$C,Partidos!$X$2,Partidos!$G:$G,B53))</f>
        <v/>
      </c>
      <c r="D53" s="2" t="str">
        <f>IF(B53="","",COUNTIFS(Partidos!$AB:$AB,TRUE,Partidos!$C:$C,Partidos!$X$2,Partidos!$P:$P,"A",Partidos!$D:$D,B53)+COUNTIFS(Partidos!$AB:$AB,TRUE,Partidos!$C:$C,Partidos!$X$2,Partidos!$P:$P,"A",Partidos!$E:$E,B53)+COUNTIFS(Partidos!$AB:$AB,TRUE,Partidos!$C:$C,Partidos!$X$2,Partidos!$P:$P,"B",Partidos!$F:$F,B53)+COUNTIFS(Partidos!$AB:$AB,TRUE,Partidos!$C:$C,Partidos!$X$2,Partidos!$P:$P,"B",Partidos!$G:$G,B53))</f>
        <v/>
      </c>
      <c r="E53" s="2" t="str">
        <f t="shared" si="4"/>
        <v/>
      </c>
      <c r="F53" s="2" t="str">
        <f>IF(B53="","",SUMIFS(Partidos!$Q:$Q,Partidos!$AB:$AB,TRUE,Partidos!$C:$C,Partidos!$X$2,Partidos!$D:$D,B53)+SUMIFS(Partidos!$Q:$Q,Partidos!$AB:$AB,TRUE,Partidos!$C:$C,Partidos!$X$2,Partidos!$E:$E,B53)+SUMIFS(Partidos!$R:$R,Partidos!$AB:$AB,TRUE,Partidos!$C:$C,Partidos!$X$2,Partidos!$F:$F,B53)+SUMIFS(Partidos!$R:$R,Partidos!$AB:$AB,TRUE,Partidos!$C:$C,Partidos!$X$2,Partidos!$G:$G,B53))</f>
        <v/>
      </c>
      <c r="G53" s="2" t="str">
        <f>IF(B53="","",SUMIFS(Partidos!$R:$R,Partidos!$AB:$AB,TRUE,Partidos!$C:$C,Partidos!$X$2,Partidos!$D:$D,B53)+SUMIFS(Partidos!$R:$R,Partidos!$AB:$AB,TRUE,Partidos!$C:$C,Partidos!$X$2,Partidos!$E:$E,B53)+SUMIFS(Partidos!$Q:$Q,Partidos!$AB:$AB,TRUE,Partidos!$C:$C,Partidos!$X$2,Partidos!$F:$F,B53)+SUMIFS(Partidos!$Q:$Q,Partidos!$AB:$AB,TRUE,Partidos!$C:$C,Partidos!$X$2,Partidos!$G:$G,B53))</f>
        <v/>
      </c>
      <c r="H53" s="2" t="str">
        <f t="shared" si="5"/>
        <v/>
      </c>
      <c r="I53" s="10" t="str">
        <f>IF(B53="","",SUMIFS(Partidos!$T:$T,Partidos!$AB:$AB,TRUE,Partidos!$C:$C,Partidos!$X$2,Partidos!$D:$D,B53)+SUMIFS(Partidos!$T:$T,Partidos!$AB:$AB,TRUE,Partidos!$C:$C,Partidos!$X$2,Partidos!$E:$E,B53)+SUMIFS(Partidos!$U:$U,Partidos!$AB:$AB,TRUE,Partidos!$C:$C,Partidos!$X$2,Partidos!$F:$F,B53)+SUMIFS(Partidos!$U:$U,Partidos!$AB:$AB,TRUE,Partidos!$C:$C,Partidos!$X$2,Partidos!$G:$G,B53))</f>
        <v/>
      </c>
      <c r="J53" s="10" t="str">
        <f>IF(B53="","",D53*Partidos!$X$3 + E53*Partidos!$X$4 + I53)</f>
        <v/>
      </c>
    </row>
    <row r="54" spans="1:10" x14ac:dyDescent="0.3">
      <c r="A54" s="2" t="str">
        <f t="shared" si="3"/>
        <v/>
      </c>
      <c r="B54" s="6" t="str">
        <f>Ranking!B52</f>
        <v/>
      </c>
      <c r="C54" s="2" t="str">
        <f>IF(B54="","",COUNTIFS(Partidos!$AB:$AB,TRUE,Partidos!$C:$C,Partidos!$X$2,Partidos!$D:$D,B54)+COUNTIFS(Partidos!$AB:$AB,TRUE,Partidos!$C:$C,Partidos!$X$2,Partidos!$E:$E,B54)+COUNTIFS(Partidos!$AB:$AB,TRUE,Partidos!$C:$C,Partidos!$X$2,Partidos!$F:$F,B54)+COUNTIFS(Partidos!$AB:$AB,TRUE,Partidos!$C:$C,Partidos!$X$2,Partidos!$G:$G,B54))</f>
        <v/>
      </c>
      <c r="D54" s="2" t="str">
        <f>IF(B54="","",COUNTIFS(Partidos!$AB:$AB,TRUE,Partidos!$C:$C,Partidos!$X$2,Partidos!$P:$P,"A",Partidos!$D:$D,B54)+COUNTIFS(Partidos!$AB:$AB,TRUE,Partidos!$C:$C,Partidos!$X$2,Partidos!$P:$P,"A",Partidos!$E:$E,B54)+COUNTIFS(Partidos!$AB:$AB,TRUE,Partidos!$C:$C,Partidos!$X$2,Partidos!$P:$P,"B",Partidos!$F:$F,B54)+COUNTIFS(Partidos!$AB:$AB,TRUE,Partidos!$C:$C,Partidos!$X$2,Partidos!$P:$P,"B",Partidos!$G:$G,B54))</f>
        <v/>
      </c>
      <c r="E54" s="2" t="str">
        <f t="shared" si="4"/>
        <v/>
      </c>
      <c r="F54" s="2" t="str">
        <f>IF(B54="","",SUMIFS(Partidos!$Q:$Q,Partidos!$AB:$AB,TRUE,Partidos!$C:$C,Partidos!$X$2,Partidos!$D:$D,B54)+SUMIFS(Partidos!$Q:$Q,Partidos!$AB:$AB,TRUE,Partidos!$C:$C,Partidos!$X$2,Partidos!$E:$E,B54)+SUMIFS(Partidos!$R:$R,Partidos!$AB:$AB,TRUE,Partidos!$C:$C,Partidos!$X$2,Partidos!$F:$F,B54)+SUMIFS(Partidos!$R:$R,Partidos!$AB:$AB,TRUE,Partidos!$C:$C,Partidos!$X$2,Partidos!$G:$G,B54))</f>
        <v/>
      </c>
      <c r="G54" s="2" t="str">
        <f>IF(B54="","",SUMIFS(Partidos!$R:$R,Partidos!$AB:$AB,TRUE,Partidos!$C:$C,Partidos!$X$2,Partidos!$D:$D,B54)+SUMIFS(Partidos!$R:$R,Partidos!$AB:$AB,TRUE,Partidos!$C:$C,Partidos!$X$2,Partidos!$E:$E,B54)+SUMIFS(Partidos!$Q:$Q,Partidos!$AB:$AB,TRUE,Partidos!$C:$C,Partidos!$X$2,Partidos!$F:$F,B54)+SUMIFS(Partidos!$Q:$Q,Partidos!$AB:$AB,TRUE,Partidos!$C:$C,Partidos!$X$2,Partidos!$G:$G,B54))</f>
        <v/>
      </c>
      <c r="H54" s="2" t="str">
        <f t="shared" si="5"/>
        <v/>
      </c>
      <c r="I54" s="10" t="str">
        <f>IF(B54="","",SUMIFS(Partidos!$T:$T,Partidos!$AB:$AB,TRUE,Partidos!$C:$C,Partidos!$X$2,Partidos!$D:$D,B54)+SUMIFS(Partidos!$T:$T,Partidos!$AB:$AB,TRUE,Partidos!$C:$C,Partidos!$X$2,Partidos!$E:$E,B54)+SUMIFS(Partidos!$U:$U,Partidos!$AB:$AB,TRUE,Partidos!$C:$C,Partidos!$X$2,Partidos!$F:$F,B54)+SUMIFS(Partidos!$U:$U,Partidos!$AB:$AB,TRUE,Partidos!$C:$C,Partidos!$X$2,Partidos!$G:$G,B54))</f>
        <v/>
      </c>
      <c r="J54" s="10" t="str">
        <f>IF(B54="","",D54*Partidos!$X$3 + E54*Partidos!$X$4 + I54)</f>
        <v/>
      </c>
    </row>
    <row r="55" spans="1:10" x14ac:dyDescent="0.3">
      <c r="A55" s="2" t="str">
        <f t="shared" si="3"/>
        <v/>
      </c>
      <c r="B55" s="6" t="str">
        <f>Ranking!B53</f>
        <v/>
      </c>
      <c r="C55" s="2" t="str">
        <f>IF(B55="","",COUNTIFS(Partidos!$AB:$AB,TRUE,Partidos!$C:$C,Partidos!$X$2,Partidos!$D:$D,B55)+COUNTIFS(Partidos!$AB:$AB,TRUE,Partidos!$C:$C,Partidos!$X$2,Partidos!$E:$E,B55)+COUNTIFS(Partidos!$AB:$AB,TRUE,Partidos!$C:$C,Partidos!$X$2,Partidos!$F:$F,B55)+COUNTIFS(Partidos!$AB:$AB,TRUE,Partidos!$C:$C,Partidos!$X$2,Partidos!$G:$G,B55))</f>
        <v/>
      </c>
      <c r="D55" s="2" t="str">
        <f>IF(B55="","",COUNTIFS(Partidos!$AB:$AB,TRUE,Partidos!$C:$C,Partidos!$X$2,Partidos!$P:$P,"A",Partidos!$D:$D,B55)+COUNTIFS(Partidos!$AB:$AB,TRUE,Partidos!$C:$C,Partidos!$X$2,Partidos!$P:$P,"A",Partidos!$E:$E,B55)+COUNTIFS(Partidos!$AB:$AB,TRUE,Partidos!$C:$C,Partidos!$X$2,Partidos!$P:$P,"B",Partidos!$F:$F,B55)+COUNTIFS(Partidos!$AB:$AB,TRUE,Partidos!$C:$C,Partidos!$X$2,Partidos!$P:$P,"B",Partidos!$G:$G,B55))</f>
        <v/>
      </c>
      <c r="E55" s="2" t="str">
        <f t="shared" si="4"/>
        <v/>
      </c>
      <c r="F55" s="2" t="str">
        <f>IF(B55="","",SUMIFS(Partidos!$Q:$Q,Partidos!$AB:$AB,TRUE,Partidos!$C:$C,Partidos!$X$2,Partidos!$D:$D,B55)+SUMIFS(Partidos!$Q:$Q,Partidos!$AB:$AB,TRUE,Partidos!$C:$C,Partidos!$X$2,Partidos!$E:$E,B55)+SUMIFS(Partidos!$R:$R,Partidos!$AB:$AB,TRUE,Partidos!$C:$C,Partidos!$X$2,Partidos!$F:$F,B55)+SUMIFS(Partidos!$R:$R,Partidos!$AB:$AB,TRUE,Partidos!$C:$C,Partidos!$X$2,Partidos!$G:$G,B55))</f>
        <v/>
      </c>
      <c r="G55" s="2" t="str">
        <f>IF(B55="","",SUMIFS(Partidos!$R:$R,Partidos!$AB:$AB,TRUE,Partidos!$C:$C,Partidos!$X$2,Partidos!$D:$D,B55)+SUMIFS(Partidos!$R:$R,Partidos!$AB:$AB,TRUE,Partidos!$C:$C,Partidos!$X$2,Partidos!$E:$E,B55)+SUMIFS(Partidos!$Q:$Q,Partidos!$AB:$AB,TRUE,Partidos!$C:$C,Partidos!$X$2,Partidos!$F:$F,B55)+SUMIFS(Partidos!$Q:$Q,Partidos!$AB:$AB,TRUE,Partidos!$C:$C,Partidos!$X$2,Partidos!$G:$G,B55))</f>
        <v/>
      </c>
      <c r="H55" s="2" t="str">
        <f t="shared" si="5"/>
        <v/>
      </c>
      <c r="I55" s="10" t="str">
        <f>IF(B55="","",SUMIFS(Partidos!$T:$T,Partidos!$AB:$AB,TRUE,Partidos!$C:$C,Partidos!$X$2,Partidos!$D:$D,B55)+SUMIFS(Partidos!$T:$T,Partidos!$AB:$AB,TRUE,Partidos!$C:$C,Partidos!$X$2,Partidos!$E:$E,B55)+SUMIFS(Partidos!$U:$U,Partidos!$AB:$AB,TRUE,Partidos!$C:$C,Partidos!$X$2,Partidos!$F:$F,B55)+SUMIFS(Partidos!$U:$U,Partidos!$AB:$AB,TRUE,Partidos!$C:$C,Partidos!$X$2,Partidos!$G:$G,B55))</f>
        <v/>
      </c>
      <c r="J55" s="10" t="str">
        <f>IF(B55="","",D55*Partidos!$X$3 + E55*Partidos!$X$4 + I55)</f>
        <v/>
      </c>
    </row>
    <row r="56" spans="1:10" x14ac:dyDescent="0.3">
      <c r="A56" s="2" t="str">
        <f t="shared" si="3"/>
        <v/>
      </c>
      <c r="B56" s="6" t="str">
        <f>Ranking!B54</f>
        <v/>
      </c>
      <c r="C56" s="2" t="str">
        <f>IF(B56="","",COUNTIFS(Partidos!$AB:$AB,TRUE,Partidos!$C:$C,Partidos!$X$2,Partidos!$D:$D,B56)+COUNTIFS(Partidos!$AB:$AB,TRUE,Partidos!$C:$C,Partidos!$X$2,Partidos!$E:$E,B56)+COUNTIFS(Partidos!$AB:$AB,TRUE,Partidos!$C:$C,Partidos!$X$2,Partidos!$F:$F,B56)+COUNTIFS(Partidos!$AB:$AB,TRUE,Partidos!$C:$C,Partidos!$X$2,Partidos!$G:$G,B56))</f>
        <v/>
      </c>
      <c r="D56" s="2" t="str">
        <f>IF(B56="","",COUNTIFS(Partidos!$AB:$AB,TRUE,Partidos!$C:$C,Partidos!$X$2,Partidos!$P:$P,"A",Partidos!$D:$D,B56)+COUNTIFS(Partidos!$AB:$AB,TRUE,Partidos!$C:$C,Partidos!$X$2,Partidos!$P:$P,"A",Partidos!$E:$E,B56)+COUNTIFS(Partidos!$AB:$AB,TRUE,Partidos!$C:$C,Partidos!$X$2,Partidos!$P:$P,"B",Partidos!$F:$F,B56)+COUNTIFS(Partidos!$AB:$AB,TRUE,Partidos!$C:$C,Partidos!$X$2,Partidos!$P:$P,"B",Partidos!$G:$G,B56))</f>
        <v/>
      </c>
      <c r="E56" s="2" t="str">
        <f t="shared" si="4"/>
        <v/>
      </c>
      <c r="F56" s="2" t="str">
        <f>IF(B56="","",SUMIFS(Partidos!$Q:$Q,Partidos!$AB:$AB,TRUE,Partidos!$C:$C,Partidos!$X$2,Partidos!$D:$D,B56)+SUMIFS(Partidos!$Q:$Q,Partidos!$AB:$AB,TRUE,Partidos!$C:$C,Partidos!$X$2,Partidos!$E:$E,B56)+SUMIFS(Partidos!$R:$R,Partidos!$AB:$AB,TRUE,Partidos!$C:$C,Partidos!$X$2,Partidos!$F:$F,B56)+SUMIFS(Partidos!$R:$R,Partidos!$AB:$AB,TRUE,Partidos!$C:$C,Partidos!$X$2,Partidos!$G:$G,B56))</f>
        <v/>
      </c>
      <c r="G56" s="2" t="str">
        <f>IF(B56="","",SUMIFS(Partidos!$R:$R,Partidos!$AB:$AB,TRUE,Partidos!$C:$C,Partidos!$X$2,Partidos!$D:$D,B56)+SUMIFS(Partidos!$R:$R,Partidos!$AB:$AB,TRUE,Partidos!$C:$C,Partidos!$X$2,Partidos!$E:$E,B56)+SUMIFS(Partidos!$Q:$Q,Partidos!$AB:$AB,TRUE,Partidos!$C:$C,Partidos!$X$2,Partidos!$F:$F,B56)+SUMIFS(Partidos!$Q:$Q,Partidos!$AB:$AB,TRUE,Partidos!$C:$C,Partidos!$X$2,Partidos!$G:$G,B56))</f>
        <v/>
      </c>
      <c r="H56" s="2" t="str">
        <f t="shared" si="5"/>
        <v/>
      </c>
      <c r="I56" s="10" t="str">
        <f>IF(B56="","",SUMIFS(Partidos!$T:$T,Partidos!$AB:$AB,TRUE,Partidos!$C:$C,Partidos!$X$2,Partidos!$D:$D,B56)+SUMIFS(Partidos!$T:$T,Partidos!$AB:$AB,TRUE,Partidos!$C:$C,Partidos!$X$2,Partidos!$E:$E,B56)+SUMIFS(Partidos!$U:$U,Partidos!$AB:$AB,TRUE,Partidos!$C:$C,Partidos!$X$2,Partidos!$F:$F,B56)+SUMIFS(Partidos!$U:$U,Partidos!$AB:$AB,TRUE,Partidos!$C:$C,Partidos!$X$2,Partidos!$G:$G,B56))</f>
        <v/>
      </c>
      <c r="J56" s="10" t="str">
        <f>IF(B56="","",D56*Partidos!$X$3 + E56*Partidos!$X$4 + I56)</f>
        <v/>
      </c>
    </row>
    <row r="57" spans="1:10" x14ac:dyDescent="0.3">
      <c r="A57" s="2" t="str">
        <f t="shared" si="3"/>
        <v/>
      </c>
      <c r="B57" s="6" t="str">
        <f>Ranking!B55</f>
        <v/>
      </c>
      <c r="C57" s="2" t="str">
        <f>IF(B57="","",COUNTIFS(Partidos!$AB:$AB,TRUE,Partidos!$C:$C,Partidos!$X$2,Partidos!$D:$D,B57)+COUNTIFS(Partidos!$AB:$AB,TRUE,Partidos!$C:$C,Partidos!$X$2,Partidos!$E:$E,B57)+COUNTIFS(Partidos!$AB:$AB,TRUE,Partidos!$C:$C,Partidos!$X$2,Partidos!$F:$F,B57)+COUNTIFS(Partidos!$AB:$AB,TRUE,Partidos!$C:$C,Partidos!$X$2,Partidos!$G:$G,B57))</f>
        <v/>
      </c>
      <c r="D57" s="2" t="str">
        <f>IF(B57="","",COUNTIFS(Partidos!$AB:$AB,TRUE,Partidos!$C:$C,Partidos!$X$2,Partidos!$P:$P,"A",Partidos!$D:$D,B57)+COUNTIFS(Partidos!$AB:$AB,TRUE,Partidos!$C:$C,Partidos!$X$2,Partidos!$P:$P,"A",Partidos!$E:$E,B57)+COUNTIFS(Partidos!$AB:$AB,TRUE,Partidos!$C:$C,Partidos!$X$2,Partidos!$P:$P,"B",Partidos!$F:$F,B57)+COUNTIFS(Partidos!$AB:$AB,TRUE,Partidos!$C:$C,Partidos!$X$2,Partidos!$P:$P,"B",Partidos!$G:$G,B57))</f>
        <v/>
      </c>
      <c r="E57" s="2" t="str">
        <f t="shared" si="4"/>
        <v/>
      </c>
      <c r="F57" s="2" t="str">
        <f>IF(B57="","",SUMIFS(Partidos!$Q:$Q,Partidos!$AB:$AB,TRUE,Partidos!$C:$C,Partidos!$X$2,Partidos!$D:$D,B57)+SUMIFS(Partidos!$Q:$Q,Partidos!$AB:$AB,TRUE,Partidos!$C:$C,Partidos!$X$2,Partidos!$E:$E,B57)+SUMIFS(Partidos!$R:$R,Partidos!$AB:$AB,TRUE,Partidos!$C:$C,Partidos!$X$2,Partidos!$F:$F,B57)+SUMIFS(Partidos!$R:$R,Partidos!$AB:$AB,TRUE,Partidos!$C:$C,Partidos!$X$2,Partidos!$G:$G,B57))</f>
        <v/>
      </c>
      <c r="G57" s="2" t="str">
        <f>IF(B57="","",SUMIFS(Partidos!$R:$R,Partidos!$AB:$AB,TRUE,Partidos!$C:$C,Partidos!$X$2,Partidos!$D:$D,B57)+SUMIFS(Partidos!$R:$R,Partidos!$AB:$AB,TRUE,Partidos!$C:$C,Partidos!$X$2,Partidos!$E:$E,B57)+SUMIFS(Partidos!$Q:$Q,Partidos!$AB:$AB,TRUE,Partidos!$C:$C,Partidos!$X$2,Partidos!$F:$F,B57)+SUMIFS(Partidos!$Q:$Q,Partidos!$AB:$AB,TRUE,Partidos!$C:$C,Partidos!$X$2,Partidos!$G:$G,B57))</f>
        <v/>
      </c>
      <c r="H57" s="2" t="str">
        <f t="shared" si="5"/>
        <v/>
      </c>
      <c r="I57" s="10" t="str">
        <f>IF(B57="","",SUMIFS(Partidos!$T:$T,Partidos!$AB:$AB,TRUE,Partidos!$C:$C,Partidos!$X$2,Partidos!$D:$D,B57)+SUMIFS(Partidos!$T:$T,Partidos!$AB:$AB,TRUE,Partidos!$C:$C,Partidos!$X$2,Partidos!$E:$E,B57)+SUMIFS(Partidos!$U:$U,Partidos!$AB:$AB,TRUE,Partidos!$C:$C,Partidos!$X$2,Partidos!$F:$F,B57)+SUMIFS(Partidos!$U:$U,Partidos!$AB:$AB,TRUE,Partidos!$C:$C,Partidos!$X$2,Partidos!$G:$G,B57))</f>
        <v/>
      </c>
      <c r="J57" s="10" t="str">
        <f>IF(B57="","",D57*Partidos!$X$3 + E57*Partidos!$X$4 + I57)</f>
        <v/>
      </c>
    </row>
    <row r="58" spans="1:10" x14ac:dyDescent="0.3">
      <c r="A58" s="2" t="str">
        <f t="shared" si="3"/>
        <v/>
      </c>
      <c r="B58" s="6" t="str">
        <f>Ranking!B56</f>
        <v/>
      </c>
      <c r="C58" s="2" t="str">
        <f>IF(B58="","",COUNTIFS(Partidos!$AB:$AB,TRUE,Partidos!$C:$C,Partidos!$X$2,Partidos!$D:$D,B58)+COUNTIFS(Partidos!$AB:$AB,TRUE,Partidos!$C:$C,Partidos!$X$2,Partidos!$E:$E,B58)+COUNTIFS(Partidos!$AB:$AB,TRUE,Partidos!$C:$C,Partidos!$X$2,Partidos!$F:$F,B58)+COUNTIFS(Partidos!$AB:$AB,TRUE,Partidos!$C:$C,Partidos!$X$2,Partidos!$G:$G,B58))</f>
        <v/>
      </c>
      <c r="D58" s="2" t="str">
        <f>IF(B58="","",COUNTIFS(Partidos!$AB:$AB,TRUE,Partidos!$C:$C,Partidos!$X$2,Partidos!$P:$P,"A",Partidos!$D:$D,B58)+COUNTIFS(Partidos!$AB:$AB,TRUE,Partidos!$C:$C,Partidos!$X$2,Partidos!$P:$P,"A",Partidos!$E:$E,B58)+COUNTIFS(Partidos!$AB:$AB,TRUE,Partidos!$C:$C,Partidos!$X$2,Partidos!$P:$P,"B",Partidos!$F:$F,B58)+COUNTIFS(Partidos!$AB:$AB,TRUE,Partidos!$C:$C,Partidos!$X$2,Partidos!$P:$P,"B",Partidos!$G:$G,B58))</f>
        <v/>
      </c>
      <c r="E58" s="2" t="str">
        <f t="shared" si="4"/>
        <v/>
      </c>
      <c r="F58" s="2" t="str">
        <f>IF(B58="","",SUMIFS(Partidos!$Q:$Q,Partidos!$AB:$AB,TRUE,Partidos!$C:$C,Partidos!$X$2,Partidos!$D:$D,B58)+SUMIFS(Partidos!$Q:$Q,Partidos!$AB:$AB,TRUE,Partidos!$C:$C,Partidos!$X$2,Partidos!$E:$E,B58)+SUMIFS(Partidos!$R:$R,Partidos!$AB:$AB,TRUE,Partidos!$C:$C,Partidos!$X$2,Partidos!$F:$F,B58)+SUMIFS(Partidos!$R:$R,Partidos!$AB:$AB,TRUE,Partidos!$C:$C,Partidos!$X$2,Partidos!$G:$G,B58))</f>
        <v/>
      </c>
      <c r="G58" s="2" t="str">
        <f>IF(B58="","",SUMIFS(Partidos!$R:$R,Partidos!$AB:$AB,TRUE,Partidos!$C:$C,Partidos!$X$2,Partidos!$D:$D,B58)+SUMIFS(Partidos!$R:$R,Partidos!$AB:$AB,TRUE,Partidos!$C:$C,Partidos!$X$2,Partidos!$E:$E,B58)+SUMIFS(Partidos!$Q:$Q,Partidos!$AB:$AB,TRUE,Partidos!$C:$C,Partidos!$X$2,Partidos!$F:$F,B58)+SUMIFS(Partidos!$Q:$Q,Partidos!$AB:$AB,TRUE,Partidos!$C:$C,Partidos!$X$2,Partidos!$G:$G,B58))</f>
        <v/>
      </c>
      <c r="H58" s="2" t="str">
        <f t="shared" si="5"/>
        <v/>
      </c>
      <c r="I58" s="10" t="str">
        <f>IF(B58="","",SUMIFS(Partidos!$T:$T,Partidos!$AB:$AB,TRUE,Partidos!$C:$C,Partidos!$X$2,Partidos!$D:$D,B58)+SUMIFS(Partidos!$T:$T,Partidos!$AB:$AB,TRUE,Partidos!$C:$C,Partidos!$X$2,Partidos!$E:$E,B58)+SUMIFS(Partidos!$U:$U,Partidos!$AB:$AB,TRUE,Partidos!$C:$C,Partidos!$X$2,Partidos!$F:$F,B58)+SUMIFS(Partidos!$U:$U,Partidos!$AB:$AB,TRUE,Partidos!$C:$C,Partidos!$X$2,Partidos!$G:$G,B58))</f>
        <v/>
      </c>
      <c r="J58" s="10" t="str">
        <f>IF(B58="","",D58*Partidos!$X$3 + E58*Partidos!$X$4 + I58)</f>
        <v/>
      </c>
    </row>
    <row r="59" spans="1:10" x14ac:dyDescent="0.3">
      <c r="A59" s="2" t="str">
        <f t="shared" si="3"/>
        <v/>
      </c>
      <c r="B59" s="6" t="str">
        <f>Ranking!B57</f>
        <v/>
      </c>
      <c r="C59" s="2" t="str">
        <f>IF(B59="","",COUNTIFS(Partidos!$AB:$AB,TRUE,Partidos!$C:$C,Partidos!$X$2,Partidos!$D:$D,B59)+COUNTIFS(Partidos!$AB:$AB,TRUE,Partidos!$C:$C,Partidos!$X$2,Partidos!$E:$E,B59)+COUNTIFS(Partidos!$AB:$AB,TRUE,Partidos!$C:$C,Partidos!$X$2,Partidos!$F:$F,B59)+COUNTIFS(Partidos!$AB:$AB,TRUE,Partidos!$C:$C,Partidos!$X$2,Partidos!$G:$G,B59))</f>
        <v/>
      </c>
      <c r="D59" s="2" t="str">
        <f>IF(B59="","",COUNTIFS(Partidos!$AB:$AB,TRUE,Partidos!$C:$C,Partidos!$X$2,Partidos!$P:$P,"A",Partidos!$D:$D,B59)+COUNTIFS(Partidos!$AB:$AB,TRUE,Partidos!$C:$C,Partidos!$X$2,Partidos!$P:$P,"A",Partidos!$E:$E,B59)+COUNTIFS(Partidos!$AB:$AB,TRUE,Partidos!$C:$C,Partidos!$X$2,Partidos!$P:$P,"B",Partidos!$F:$F,B59)+COUNTIFS(Partidos!$AB:$AB,TRUE,Partidos!$C:$C,Partidos!$X$2,Partidos!$P:$P,"B",Partidos!$G:$G,B59))</f>
        <v/>
      </c>
      <c r="E59" s="2" t="str">
        <f t="shared" si="4"/>
        <v/>
      </c>
      <c r="F59" s="2" t="str">
        <f>IF(B59="","",SUMIFS(Partidos!$Q:$Q,Partidos!$AB:$AB,TRUE,Partidos!$C:$C,Partidos!$X$2,Partidos!$D:$D,B59)+SUMIFS(Partidos!$Q:$Q,Partidos!$AB:$AB,TRUE,Partidos!$C:$C,Partidos!$X$2,Partidos!$E:$E,B59)+SUMIFS(Partidos!$R:$R,Partidos!$AB:$AB,TRUE,Partidos!$C:$C,Partidos!$X$2,Partidos!$F:$F,B59)+SUMIFS(Partidos!$R:$R,Partidos!$AB:$AB,TRUE,Partidos!$C:$C,Partidos!$X$2,Partidos!$G:$G,B59))</f>
        <v/>
      </c>
      <c r="G59" s="2" t="str">
        <f>IF(B59="","",SUMIFS(Partidos!$R:$R,Partidos!$AB:$AB,TRUE,Partidos!$C:$C,Partidos!$X$2,Partidos!$D:$D,B59)+SUMIFS(Partidos!$R:$R,Partidos!$AB:$AB,TRUE,Partidos!$C:$C,Partidos!$X$2,Partidos!$E:$E,B59)+SUMIFS(Partidos!$Q:$Q,Partidos!$AB:$AB,TRUE,Partidos!$C:$C,Partidos!$X$2,Partidos!$F:$F,B59)+SUMIFS(Partidos!$Q:$Q,Partidos!$AB:$AB,TRUE,Partidos!$C:$C,Partidos!$X$2,Partidos!$G:$G,B59))</f>
        <v/>
      </c>
      <c r="H59" s="2" t="str">
        <f t="shared" si="5"/>
        <v/>
      </c>
      <c r="I59" s="10" t="str">
        <f>IF(B59="","",SUMIFS(Partidos!$T:$T,Partidos!$AB:$AB,TRUE,Partidos!$C:$C,Partidos!$X$2,Partidos!$D:$D,B59)+SUMIFS(Partidos!$T:$T,Partidos!$AB:$AB,TRUE,Partidos!$C:$C,Partidos!$X$2,Partidos!$E:$E,B59)+SUMIFS(Partidos!$U:$U,Partidos!$AB:$AB,TRUE,Partidos!$C:$C,Partidos!$X$2,Partidos!$F:$F,B59)+SUMIFS(Partidos!$U:$U,Partidos!$AB:$AB,TRUE,Partidos!$C:$C,Partidos!$X$2,Partidos!$G:$G,B59))</f>
        <v/>
      </c>
      <c r="J59" s="10" t="str">
        <f>IF(B59="","",D59*Partidos!$X$3 + E59*Partidos!$X$4 + I59)</f>
        <v/>
      </c>
    </row>
    <row r="60" spans="1:10" x14ac:dyDescent="0.3">
      <c r="A60" s="2" t="str">
        <f t="shared" si="3"/>
        <v/>
      </c>
      <c r="B60" s="6" t="str">
        <f>Ranking!B58</f>
        <v/>
      </c>
      <c r="C60" s="2" t="str">
        <f>IF(B60="","",COUNTIFS(Partidos!$AB:$AB,TRUE,Partidos!$C:$C,Partidos!$X$2,Partidos!$D:$D,B60)+COUNTIFS(Partidos!$AB:$AB,TRUE,Partidos!$C:$C,Partidos!$X$2,Partidos!$E:$E,B60)+COUNTIFS(Partidos!$AB:$AB,TRUE,Partidos!$C:$C,Partidos!$X$2,Partidos!$F:$F,B60)+COUNTIFS(Partidos!$AB:$AB,TRUE,Partidos!$C:$C,Partidos!$X$2,Partidos!$G:$G,B60))</f>
        <v/>
      </c>
      <c r="D60" s="2" t="str">
        <f>IF(B60="","",COUNTIFS(Partidos!$AB:$AB,TRUE,Partidos!$C:$C,Partidos!$X$2,Partidos!$P:$P,"A",Partidos!$D:$D,B60)+COUNTIFS(Partidos!$AB:$AB,TRUE,Partidos!$C:$C,Partidos!$X$2,Partidos!$P:$P,"A",Partidos!$E:$E,B60)+COUNTIFS(Partidos!$AB:$AB,TRUE,Partidos!$C:$C,Partidos!$X$2,Partidos!$P:$P,"B",Partidos!$F:$F,B60)+COUNTIFS(Partidos!$AB:$AB,TRUE,Partidos!$C:$C,Partidos!$X$2,Partidos!$P:$P,"B",Partidos!$G:$G,B60))</f>
        <v/>
      </c>
      <c r="E60" s="2" t="str">
        <f t="shared" si="4"/>
        <v/>
      </c>
      <c r="F60" s="2" t="str">
        <f>IF(B60="","",SUMIFS(Partidos!$Q:$Q,Partidos!$AB:$AB,TRUE,Partidos!$C:$C,Partidos!$X$2,Partidos!$D:$D,B60)+SUMIFS(Partidos!$Q:$Q,Partidos!$AB:$AB,TRUE,Partidos!$C:$C,Partidos!$X$2,Partidos!$E:$E,B60)+SUMIFS(Partidos!$R:$R,Partidos!$AB:$AB,TRUE,Partidos!$C:$C,Partidos!$X$2,Partidos!$F:$F,B60)+SUMIFS(Partidos!$R:$R,Partidos!$AB:$AB,TRUE,Partidos!$C:$C,Partidos!$X$2,Partidos!$G:$G,B60))</f>
        <v/>
      </c>
      <c r="G60" s="2" t="str">
        <f>IF(B60="","",SUMIFS(Partidos!$R:$R,Partidos!$AB:$AB,TRUE,Partidos!$C:$C,Partidos!$X$2,Partidos!$D:$D,B60)+SUMIFS(Partidos!$R:$R,Partidos!$AB:$AB,TRUE,Partidos!$C:$C,Partidos!$X$2,Partidos!$E:$E,B60)+SUMIFS(Partidos!$Q:$Q,Partidos!$AB:$AB,TRUE,Partidos!$C:$C,Partidos!$X$2,Partidos!$F:$F,B60)+SUMIFS(Partidos!$Q:$Q,Partidos!$AB:$AB,TRUE,Partidos!$C:$C,Partidos!$X$2,Partidos!$G:$G,B60))</f>
        <v/>
      </c>
      <c r="H60" s="2" t="str">
        <f t="shared" si="5"/>
        <v/>
      </c>
      <c r="I60" s="10" t="str">
        <f>IF(B60="","",SUMIFS(Partidos!$T:$T,Partidos!$AB:$AB,TRUE,Partidos!$C:$C,Partidos!$X$2,Partidos!$D:$D,B60)+SUMIFS(Partidos!$T:$T,Partidos!$AB:$AB,TRUE,Partidos!$C:$C,Partidos!$X$2,Partidos!$E:$E,B60)+SUMIFS(Partidos!$U:$U,Partidos!$AB:$AB,TRUE,Partidos!$C:$C,Partidos!$X$2,Partidos!$F:$F,B60)+SUMIFS(Partidos!$U:$U,Partidos!$AB:$AB,TRUE,Partidos!$C:$C,Partidos!$X$2,Partidos!$G:$G,B60))</f>
        <v/>
      </c>
      <c r="J60" s="10" t="str">
        <f>IF(B60="","",D60*Partidos!$X$3 + E60*Partidos!$X$4 + I60)</f>
        <v/>
      </c>
    </row>
    <row r="61" spans="1:10" x14ac:dyDescent="0.3">
      <c r="A61" s="2" t="str">
        <f t="shared" si="3"/>
        <v/>
      </c>
      <c r="B61" s="6" t="str">
        <f>Ranking!B59</f>
        <v/>
      </c>
      <c r="C61" s="2" t="str">
        <f>IF(B61="","",COUNTIFS(Partidos!$AB:$AB,TRUE,Partidos!$C:$C,Partidos!$X$2,Partidos!$D:$D,B61)+COUNTIFS(Partidos!$AB:$AB,TRUE,Partidos!$C:$C,Partidos!$X$2,Partidos!$E:$E,B61)+COUNTIFS(Partidos!$AB:$AB,TRUE,Partidos!$C:$C,Partidos!$X$2,Partidos!$F:$F,B61)+COUNTIFS(Partidos!$AB:$AB,TRUE,Partidos!$C:$C,Partidos!$X$2,Partidos!$G:$G,B61))</f>
        <v/>
      </c>
      <c r="D61" s="2" t="str">
        <f>IF(B61="","",COUNTIFS(Partidos!$AB:$AB,TRUE,Partidos!$C:$C,Partidos!$X$2,Partidos!$P:$P,"A",Partidos!$D:$D,B61)+COUNTIFS(Partidos!$AB:$AB,TRUE,Partidos!$C:$C,Partidos!$X$2,Partidos!$P:$P,"A",Partidos!$E:$E,B61)+COUNTIFS(Partidos!$AB:$AB,TRUE,Partidos!$C:$C,Partidos!$X$2,Partidos!$P:$P,"B",Partidos!$F:$F,B61)+COUNTIFS(Partidos!$AB:$AB,TRUE,Partidos!$C:$C,Partidos!$X$2,Partidos!$P:$P,"B",Partidos!$G:$G,B61))</f>
        <v/>
      </c>
      <c r="E61" s="2" t="str">
        <f t="shared" si="4"/>
        <v/>
      </c>
      <c r="F61" s="2" t="str">
        <f>IF(B61="","",SUMIFS(Partidos!$Q:$Q,Partidos!$AB:$AB,TRUE,Partidos!$C:$C,Partidos!$X$2,Partidos!$D:$D,B61)+SUMIFS(Partidos!$Q:$Q,Partidos!$AB:$AB,TRUE,Partidos!$C:$C,Partidos!$X$2,Partidos!$E:$E,B61)+SUMIFS(Partidos!$R:$R,Partidos!$AB:$AB,TRUE,Partidos!$C:$C,Partidos!$X$2,Partidos!$F:$F,B61)+SUMIFS(Partidos!$R:$R,Partidos!$AB:$AB,TRUE,Partidos!$C:$C,Partidos!$X$2,Partidos!$G:$G,B61))</f>
        <v/>
      </c>
      <c r="G61" s="2" t="str">
        <f>IF(B61="","",SUMIFS(Partidos!$R:$R,Partidos!$AB:$AB,TRUE,Partidos!$C:$C,Partidos!$X$2,Partidos!$D:$D,B61)+SUMIFS(Partidos!$R:$R,Partidos!$AB:$AB,TRUE,Partidos!$C:$C,Partidos!$X$2,Partidos!$E:$E,B61)+SUMIFS(Partidos!$Q:$Q,Partidos!$AB:$AB,TRUE,Partidos!$C:$C,Partidos!$X$2,Partidos!$F:$F,B61)+SUMIFS(Partidos!$Q:$Q,Partidos!$AB:$AB,TRUE,Partidos!$C:$C,Partidos!$X$2,Partidos!$G:$G,B61))</f>
        <v/>
      </c>
      <c r="H61" s="2" t="str">
        <f t="shared" si="5"/>
        <v/>
      </c>
      <c r="I61" s="10" t="str">
        <f>IF(B61="","",SUMIFS(Partidos!$T:$T,Partidos!$AB:$AB,TRUE,Partidos!$C:$C,Partidos!$X$2,Partidos!$D:$D,B61)+SUMIFS(Partidos!$T:$T,Partidos!$AB:$AB,TRUE,Partidos!$C:$C,Partidos!$X$2,Partidos!$E:$E,B61)+SUMIFS(Partidos!$U:$U,Partidos!$AB:$AB,TRUE,Partidos!$C:$C,Partidos!$X$2,Partidos!$F:$F,B61)+SUMIFS(Partidos!$U:$U,Partidos!$AB:$AB,TRUE,Partidos!$C:$C,Partidos!$X$2,Partidos!$G:$G,B61))</f>
        <v/>
      </c>
      <c r="J61" s="10" t="str">
        <f>IF(B61="","",D61*Partidos!$X$3 + E61*Partidos!$X$4 + I61)</f>
        <v/>
      </c>
    </row>
    <row r="62" spans="1:10" x14ac:dyDescent="0.3">
      <c r="A62" s="2" t="str">
        <f t="shared" si="3"/>
        <v/>
      </c>
      <c r="B62" s="6" t="str">
        <f>Ranking!B60</f>
        <v/>
      </c>
      <c r="C62" s="2" t="str">
        <f>IF(B62="","",COUNTIFS(Partidos!$AB:$AB,TRUE,Partidos!$C:$C,Partidos!$X$2,Partidos!$D:$D,B62)+COUNTIFS(Partidos!$AB:$AB,TRUE,Partidos!$C:$C,Partidos!$X$2,Partidos!$E:$E,B62)+COUNTIFS(Partidos!$AB:$AB,TRUE,Partidos!$C:$C,Partidos!$X$2,Partidos!$F:$F,B62)+COUNTIFS(Partidos!$AB:$AB,TRUE,Partidos!$C:$C,Partidos!$X$2,Partidos!$G:$G,B62))</f>
        <v/>
      </c>
      <c r="D62" s="2" t="str">
        <f>IF(B62="","",COUNTIFS(Partidos!$AB:$AB,TRUE,Partidos!$C:$C,Partidos!$X$2,Partidos!$P:$P,"A",Partidos!$D:$D,B62)+COUNTIFS(Partidos!$AB:$AB,TRUE,Partidos!$C:$C,Partidos!$X$2,Partidos!$P:$P,"A",Partidos!$E:$E,B62)+COUNTIFS(Partidos!$AB:$AB,TRUE,Partidos!$C:$C,Partidos!$X$2,Partidos!$P:$P,"B",Partidos!$F:$F,B62)+COUNTIFS(Partidos!$AB:$AB,TRUE,Partidos!$C:$C,Partidos!$X$2,Partidos!$P:$P,"B",Partidos!$G:$G,B62))</f>
        <v/>
      </c>
      <c r="E62" s="2" t="str">
        <f t="shared" si="4"/>
        <v/>
      </c>
      <c r="F62" s="2" t="str">
        <f>IF(B62="","",SUMIFS(Partidos!$Q:$Q,Partidos!$AB:$AB,TRUE,Partidos!$C:$C,Partidos!$X$2,Partidos!$D:$D,B62)+SUMIFS(Partidos!$Q:$Q,Partidos!$AB:$AB,TRUE,Partidos!$C:$C,Partidos!$X$2,Partidos!$E:$E,B62)+SUMIFS(Partidos!$R:$R,Partidos!$AB:$AB,TRUE,Partidos!$C:$C,Partidos!$X$2,Partidos!$F:$F,B62)+SUMIFS(Partidos!$R:$R,Partidos!$AB:$AB,TRUE,Partidos!$C:$C,Partidos!$X$2,Partidos!$G:$G,B62))</f>
        <v/>
      </c>
      <c r="G62" s="2" t="str">
        <f>IF(B62="","",SUMIFS(Partidos!$R:$R,Partidos!$AB:$AB,TRUE,Partidos!$C:$C,Partidos!$X$2,Partidos!$D:$D,B62)+SUMIFS(Partidos!$R:$R,Partidos!$AB:$AB,TRUE,Partidos!$C:$C,Partidos!$X$2,Partidos!$E:$E,B62)+SUMIFS(Partidos!$Q:$Q,Partidos!$AB:$AB,TRUE,Partidos!$C:$C,Partidos!$X$2,Partidos!$F:$F,B62)+SUMIFS(Partidos!$Q:$Q,Partidos!$AB:$AB,TRUE,Partidos!$C:$C,Partidos!$X$2,Partidos!$G:$G,B62))</f>
        <v/>
      </c>
      <c r="H62" s="2" t="str">
        <f t="shared" si="5"/>
        <v/>
      </c>
      <c r="I62" s="10" t="str">
        <f>IF(B62="","",SUMIFS(Partidos!$T:$T,Partidos!$AB:$AB,TRUE,Partidos!$C:$C,Partidos!$X$2,Partidos!$D:$D,B62)+SUMIFS(Partidos!$T:$T,Partidos!$AB:$AB,TRUE,Partidos!$C:$C,Partidos!$X$2,Partidos!$E:$E,B62)+SUMIFS(Partidos!$U:$U,Partidos!$AB:$AB,TRUE,Partidos!$C:$C,Partidos!$X$2,Partidos!$F:$F,B62)+SUMIFS(Partidos!$U:$U,Partidos!$AB:$AB,TRUE,Partidos!$C:$C,Partidos!$X$2,Partidos!$G:$G,B62))</f>
        <v/>
      </c>
      <c r="J62" s="10" t="str">
        <f>IF(B62="","",D62*Partidos!$X$3 + E62*Partidos!$X$4 + I62)</f>
        <v/>
      </c>
    </row>
    <row r="63" spans="1:10" x14ac:dyDescent="0.3">
      <c r="A63" s="2" t="str">
        <f t="shared" si="3"/>
        <v/>
      </c>
      <c r="B63" s="6" t="str">
        <f>Ranking!B61</f>
        <v/>
      </c>
      <c r="C63" s="2" t="str">
        <f>IF(B63="","",COUNTIFS(Partidos!$AB:$AB,TRUE,Partidos!$C:$C,Partidos!$X$2,Partidos!$D:$D,B63)+COUNTIFS(Partidos!$AB:$AB,TRUE,Partidos!$C:$C,Partidos!$X$2,Partidos!$E:$E,B63)+COUNTIFS(Partidos!$AB:$AB,TRUE,Partidos!$C:$C,Partidos!$X$2,Partidos!$F:$F,B63)+COUNTIFS(Partidos!$AB:$AB,TRUE,Partidos!$C:$C,Partidos!$X$2,Partidos!$G:$G,B63))</f>
        <v/>
      </c>
      <c r="D63" s="2" t="str">
        <f>IF(B63="","",COUNTIFS(Partidos!$AB:$AB,TRUE,Partidos!$C:$C,Partidos!$X$2,Partidos!$P:$P,"A",Partidos!$D:$D,B63)+COUNTIFS(Partidos!$AB:$AB,TRUE,Partidos!$C:$C,Partidos!$X$2,Partidos!$P:$P,"A",Partidos!$E:$E,B63)+COUNTIFS(Partidos!$AB:$AB,TRUE,Partidos!$C:$C,Partidos!$X$2,Partidos!$P:$P,"B",Partidos!$F:$F,B63)+COUNTIFS(Partidos!$AB:$AB,TRUE,Partidos!$C:$C,Partidos!$X$2,Partidos!$P:$P,"B",Partidos!$G:$G,B63))</f>
        <v/>
      </c>
      <c r="E63" s="2" t="str">
        <f t="shared" si="4"/>
        <v/>
      </c>
      <c r="F63" s="2" t="str">
        <f>IF(B63="","",SUMIFS(Partidos!$Q:$Q,Partidos!$AB:$AB,TRUE,Partidos!$C:$C,Partidos!$X$2,Partidos!$D:$D,B63)+SUMIFS(Partidos!$Q:$Q,Partidos!$AB:$AB,TRUE,Partidos!$C:$C,Partidos!$X$2,Partidos!$E:$E,B63)+SUMIFS(Partidos!$R:$R,Partidos!$AB:$AB,TRUE,Partidos!$C:$C,Partidos!$X$2,Partidos!$F:$F,B63)+SUMIFS(Partidos!$R:$R,Partidos!$AB:$AB,TRUE,Partidos!$C:$C,Partidos!$X$2,Partidos!$G:$G,B63))</f>
        <v/>
      </c>
      <c r="G63" s="2" t="str">
        <f>IF(B63="","",SUMIFS(Partidos!$R:$R,Partidos!$AB:$AB,TRUE,Partidos!$C:$C,Partidos!$X$2,Partidos!$D:$D,B63)+SUMIFS(Partidos!$R:$R,Partidos!$AB:$AB,TRUE,Partidos!$C:$C,Partidos!$X$2,Partidos!$E:$E,B63)+SUMIFS(Partidos!$Q:$Q,Partidos!$AB:$AB,TRUE,Partidos!$C:$C,Partidos!$X$2,Partidos!$F:$F,B63)+SUMIFS(Partidos!$Q:$Q,Partidos!$AB:$AB,TRUE,Partidos!$C:$C,Partidos!$X$2,Partidos!$G:$G,B63))</f>
        <v/>
      </c>
      <c r="H63" s="2" t="str">
        <f t="shared" si="5"/>
        <v/>
      </c>
      <c r="I63" s="10" t="str">
        <f>IF(B63="","",SUMIFS(Partidos!$T:$T,Partidos!$AB:$AB,TRUE,Partidos!$C:$C,Partidos!$X$2,Partidos!$D:$D,B63)+SUMIFS(Partidos!$T:$T,Partidos!$AB:$AB,TRUE,Partidos!$C:$C,Partidos!$X$2,Partidos!$E:$E,B63)+SUMIFS(Partidos!$U:$U,Partidos!$AB:$AB,TRUE,Partidos!$C:$C,Partidos!$X$2,Partidos!$F:$F,B63)+SUMIFS(Partidos!$U:$U,Partidos!$AB:$AB,TRUE,Partidos!$C:$C,Partidos!$X$2,Partidos!$G:$G,B63))</f>
        <v/>
      </c>
      <c r="J63" s="10" t="str">
        <f>IF(B63="","",D63*Partidos!$X$3 + E63*Partidos!$X$4 + I63)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5"/>
  <sheetViews>
    <sheetView workbookViewId="0">
      <pane ySplit="5" topLeftCell="A6" activePane="bottomLeft" state="frozen"/>
      <selection pane="bottomLeft" activeCell="R6" sqref="R6"/>
    </sheetView>
  </sheetViews>
  <sheetFormatPr baseColWidth="10" defaultColWidth="8.88671875" defaultRowHeight="14.4" x14ac:dyDescent="0.3"/>
  <cols>
    <col min="1" max="1" width="22" customWidth="1"/>
    <col min="2" max="4" width="14" customWidth="1"/>
    <col min="5" max="5" width="12" style="29" customWidth="1"/>
    <col min="6" max="7" width="10" customWidth="1"/>
    <col min="8" max="8" width="8" customWidth="1"/>
    <col min="9" max="9" width="5.33203125" bestFit="1" customWidth="1"/>
    <col min="10" max="10" width="15.109375" bestFit="1" customWidth="1"/>
    <col min="11" max="11" width="9.77734375" customWidth="1"/>
    <col min="12" max="13" width="10" customWidth="1"/>
    <col min="14" max="14" width="14" customWidth="1"/>
    <col min="15" max="20" width="10" customWidth="1"/>
  </cols>
  <sheetData>
    <row r="1" spans="1:20" ht="18" x14ac:dyDescent="0.35">
      <c r="A1" s="33" t="s">
        <v>63</v>
      </c>
      <c r="B1" s="31"/>
      <c r="C1" s="31"/>
      <c r="D1" s="31"/>
      <c r="E1" s="31"/>
      <c r="F1" s="31"/>
      <c r="G1" s="31"/>
      <c r="H1" s="31"/>
    </row>
    <row r="2" spans="1:20" x14ac:dyDescent="0.3">
      <c r="E2"/>
      <c r="J2" s="5" t="s">
        <v>64</v>
      </c>
      <c r="K2" s="3" t="s">
        <v>65</v>
      </c>
    </row>
    <row r="3" spans="1:20" x14ac:dyDescent="0.3">
      <c r="A3" t="s">
        <v>48</v>
      </c>
      <c r="B3" s="8" t="s">
        <v>119</v>
      </c>
      <c r="E3"/>
    </row>
    <row r="4" spans="1:20" x14ac:dyDescent="0.3">
      <c r="E4"/>
      <c r="N4" s="5" t="s">
        <v>66</v>
      </c>
    </row>
    <row r="5" spans="1:20" ht="22.05" customHeight="1" x14ac:dyDescent="0.3">
      <c r="A5" s="1" t="s">
        <v>67</v>
      </c>
      <c r="B5" s="1" t="s">
        <v>68</v>
      </c>
      <c r="C5" s="1" t="s">
        <v>69</v>
      </c>
      <c r="D5" s="1" t="s">
        <v>70</v>
      </c>
      <c r="E5" s="21" t="s">
        <v>71</v>
      </c>
      <c r="F5" s="1" t="s">
        <v>52</v>
      </c>
      <c r="G5" s="1" t="s">
        <v>53</v>
      </c>
      <c r="H5" s="1" t="s">
        <v>54</v>
      </c>
      <c r="I5" s="1" t="s">
        <v>57</v>
      </c>
      <c r="J5" s="1" t="s">
        <v>58</v>
      </c>
      <c r="K5" s="1" t="s">
        <v>59</v>
      </c>
      <c r="L5" s="1" t="s">
        <v>72</v>
      </c>
      <c r="M5" s="26"/>
      <c r="N5" s="1" t="s">
        <v>14</v>
      </c>
      <c r="O5" s="1" t="s">
        <v>49</v>
      </c>
      <c r="P5" s="1" t="s">
        <v>50</v>
      </c>
      <c r="Q5" s="1" t="s">
        <v>51</v>
      </c>
      <c r="R5" s="1" t="s">
        <v>65</v>
      </c>
      <c r="S5" s="1" t="s">
        <v>54</v>
      </c>
      <c r="T5" s="1" t="s">
        <v>73</v>
      </c>
    </row>
    <row r="6" spans="1:20" x14ac:dyDescent="0.3">
      <c r="A6" s="9" t="str">
        <f>IF(Jugadores!B17="","",IF(Jugadores!B17=$B$3,"",Jugadores!B17))</f>
        <v/>
      </c>
      <c r="B6" s="2" t="str">
        <f>IF($A6="","",COUNTIFS(Partidos!$C:$C,Partidos!$X$2,Partidos!$D:$D,$B$3,Partidos!$E:$E,$A6)+COUNTIFS(Partidos!$C:$C,Partidos!$X$2,Partidos!$D:$D,$A6,Partidos!$E:$E,$B$3)+COUNTIFS(Partidos!$C:$C,Partidos!$X$2,Partidos!$F:$F,$B$3,Partidos!$G:$G,$A6)+COUNTIFS(Partidos!$C:$C,Partidos!$X$2,Partidos!$F:$F,$A6,Partidos!$G:$G,$B$3))</f>
        <v/>
      </c>
      <c r="C6" s="2" t="str">
        <f>IF($A6="","",COUNTIFS(Partidos!$C:$C,Partidos!$X$2,Partidos!$P:$P,"A",Partidos!$D:$D,$B$3,Partidos!$E:$E,$A6)+COUNTIFS(Partidos!$C:$C,Partidos!$X$2,Partidos!$P:$P,"A",Partidos!$D:$D,$A6,Partidos!$E:$E,$B$3)+COUNTIFS(Partidos!$C:$C,Partidos!$X$2,Partidos!$P:$P,"B",Partidos!$F:$F,$B$3,Partidos!$G:$G,$A6)+COUNTIFS(Partidos!$C:$C,Partidos!$X$2,Partidos!$P:$P,"B",Partidos!$F:$F,$A6,Partidos!$G:$G,$B$3))</f>
        <v/>
      </c>
      <c r="D6" s="2" t="str">
        <f>IF($A6="","",B6-C6)</f>
        <v/>
      </c>
      <c r="E6" s="46" t="str">
        <f>IF($A6="","",IF(B6=0,"",C6/B6))</f>
        <v/>
      </c>
      <c r="F6" s="10" t="str">
        <f>IF($A6="","",SUMIFS(Partidos!$Q:$Q,Partidos!$C:$C,Partidos!$X$2,Partidos!$D:$D,$B$3,Partidos!$E:$E,$A6)+SUMIFS(Partidos!$Q:$Q,Partidos!$C:$C,Partidos!$X$2,Partidos!$D:$D,$A6,Partidos!$E:$E,$B$3)+SUMIFS(Partidos!$R:$R,Partidos!$C:$C,Partidos!$X$2,Partidos!$F:$F,$B$3,Partidos!$G:$G,$A6)+SUMIFS(Partidos!$R:$R,Partidos!$C:$C,Partidos!$X$2,Partidos!$F:$F,$A6,Partidos!$G:$G,$B$3))</f>
        <v/>
      </c>
      <c r="G6" s="10" t="str">
        <f>IF($A6="","",SUMIFS(Partidos!$R:$R,Partidos!$C:$C,Partidos!$X$2,Partidos!$D:$D,$B$3,Partidos!$E:$E,$A6)+SUMIFS(Partidos!$R:$R,Partidos!$C:$C,Partidos!$X$2,Partidos!$D:$D,$A6,Partidos!$E:$E,$B$3)+SUMIFS(Partidos!$Q:$Q,Partidos!$C:$C,Partidos!$X$2,Partidos!$F:$F,$B$3,Partidos!$G:$G,$A6)+SUMIFS(Partidos!$Q:$Q,Partidos!$C:$C,Partidos!$X$2,Partidos!$F:$F,$A6,Partidos!$G:$G,$B$3))</f>
        <v/>
      </c>
      <c r="H6" s="10" t="str">
        <f>IF($A6="","",F6-G6)</f>
        <v/>
      </c>
      <c r="I6" s="10" t="str">
        <f>IF($A6="","",IF($A6="","",SUMIFS(Partidos!$N:$N,Partidos!$C:$C,Partidos!$X$2,Partidos!$D:$D,$B$3,Partidos!$E:$E,$A6)+SUMIFS(Partidos!$N:$N,Partidos!$C:$C,Partidos!$X$2,Partidos!$D:$D,$A6,Partidos!$E:$E,$B$3)+SUMIFS(Partidos!$O:$O,Partidos!$C:$C,Partidos!$X$2,Partidos!$F:$F,$B$3,Partidos!$G:$G,$A6)+SUMIFS(Partidos!$O:$O,Partidos!$C:$C,Partidos!$X$2,Partidos!$F:$F,$A6,Partidos!$G:$G,$B$3)))</f>
        <v/>
      </c>
      <c r="J6" s="10" t="str">
        <f>IF($A6="","",IF($A6="","",SUMIFS(Partidos!$O:$O,Partidos!$C:$C,Partidos!$X$2,Partidos!$D:$D,$B$3,Partidos!$E:$E,$A6)+SUMIFS(Partidos!$O:$O,Partidos!$C:$C,Partidos!$X$2,Partidos!$D:$D,$A6,Partidos!$E:$E,$B$3)+SUMIFS(Partidos!$N:$N,Partidos!$C:$C,Partidos!$X$2,Partidos!$F:$F,$B$3,Partidos!$G:$G,$A6)+SUMIFS(Partidos!$N:$N,Partidos!$C:$C,Partidos!$X$2,Partidos!$F:$F,$A6,Partidos!$G:$G,$B$3)))</f>
        <v/>
      </c>
      <c r="K6" s="10" t="str">
        <f>IF($A6="","",I6-J6)</f>
        <v/>
      </c>
      <c r="L6" t="str">
        <f>IF($A6="","",RANK($B6,$B$6:$B$65,0)+COUNTIFS($B$6:$B$65,$B6,$A$6:$A$65,"&gt;"&amp;$A6))</f>
        <v/>
      </c>
      <c r="N6" s="12" t="str">
        <f>IFERROR(INDEX($A$6:$A$65,IF($K$2="PJ",MATCH(1,$L$6:$L$65,0),MATCH(1,$T$6:$T$65,0))),"")</f>
        <v>José López</v>
      </c>
      <c r="O6" s="14">
        <f>IFERROR(INDEX($B$6:$B$65,IF($K$2="PJ",MATCH(1,$L$6:$L$65,0),MATCH(1,$T$6:$T$65,0))),"")</f>
        <v>1</v>
      </c>
      <c r="P6" s="10">
        <f>IFERROR(INDEX($C$6:$C$65,IF($K$2="PJ",MATCH(1,$L$6:$L$65,0),MATCH(1,$T$6:$T$65,0))),"")</f>
        <v>1</v>
      </c>
      <c r="Q6" s="10">
        <f>IFERROR(INDEX($D$6:$D$65,IF($K$2="PJ",MATCH(1,$L$6:$L$65,0),MATCH(1,$T$6:$T$65,0))),"")</f>
        <v>0</v>
      </c>
      <c r="R6" s="11">
        <f>IFERROR(INDEX($E$6:$E$65,IF($K$2="PJ",MATCH(1,$L$6:$L$65,0),MATCH(1,$T$6:$T$65,0))),"")</f>
        <v>1</v>
      </c>
      <c r="S6" s="10">
        <f>IFERROR(INDEX($H$6:$H$65,IF($K$2="PJ",MATCH(1,$L$6:$L$65,0),MATCH(1,$T$6:$T$65,0))),"")</f>
        <v>7</v>
      </c>
      <c r="T6" t="str">
        <f t="shared" ref="T6:T37" si="0">IF(OR($A6="", $B6=0),"",RANK($E6,$E$6:$E$65,0)+COUNTIFS($E$6:$E$65,$E6,$B$6:$B$65,"&gt;"&amp;$B6)+COUNTIFS($E$6:$E$65,$E6,$B$6:$B$65,$B6,$A$6:$A$65,"&gt;"&amp;$A6))</f>
        <v/>
      </c>
    </row>
    <row r="7" spans="1:20" x14ac:dyDescent="0.3">
      <c r="A7" s="9" t="str">
        <f>IF(Jugadores!B5="","",IF(Jugadores!B5=$B$3,"",Jugadores!B5))</f>
        <v>César Morales</v>
      </c>
      <c r="B7" s="2">
        <f>IF($A7="","",COUNTIFS(Partidos!$C:$C,Partidos!$X$2,Partidos!$D:$D,$B$3,Partidos!$E:$E,$A7)+COUNTIFS(Partidos!$C:$C,Partidos!$X$2,Partidos!$D:$D,$A7,Partidos!$E:$E,$B$3)+COUNTIFS(Partidos!$C:$C,Partidos!$X$2,Partidos!$F:$F,$B$3,Partidos!$G:$G,$A7)+COUNTIFS(Partidos!$C:$C,Partidos!$X$2,Partidos!$F:$F,$A7,Partidos!$G:$G,$B$3))</f>
        <v>0</v>
      </c>
      <c r="C7" s="2">
        <f>IF($A7="","",COUNTIFS(Partidos!$C:$C,Partidos!$X$2,Partidos!$P:$P,"A",Partidos!$D:$D,$B$3,Partidos!$E:$E,$A7)+COUNTIFS(Partidos!$C:$C,Partidos!$X$2,Partidos!$P:$P,"A",Partidos!$D:$D,$A7,Partidos!$E:$E,$B$3)+COUNTIFS(Partidos!$C:$C,Partidos!$X$2,Partidos!$P:$P,"B",Partidos!$F:$F,$B$3,Partidos!$G:$G,$A7)+COUNTIFS(Partidos!$C:$C,Partidos!$X$2,Partidos!$P:$P,"B",Partidos!$F:$F,$A7,Partidos!$G:$G,$B$3))</f>
        <v>0</v>
      </c>
      <c r="D7" s="2">
        <f>IF($A7="","",B7-C7)</f>
        <v>0</v>
      </c>
      <c r="E7" s="46" t="str">
        <f>IF($A7="","",IF(B7=0,"",C7/B7))</f>
        <v/>
      </c>
      <c r="F7" s="10">
        <f>IF($A7="","",SUMIFS(Partidos!$Q:$Q,Partidos!$C:$C,Partidos!$X$2,Partidos!$D:$D,$B$3,Partidos!$E:$E,$A7)+SUMIFS(Partidos!$Q:$Q,Partidos!$C:$C,Partidos!$X$2,Partidos!$D:$D,$A7,Partidos!$E:$E,$B$3)+SUMIFS(Partidos!$R:$R,Partidos!$C:$C,Partidos!$X$2,Partidos!$F:$F,$B$3,Partidos!$G:$G,$A7)+SUMIFS(Partidos!$R:$R,Partidos!$C:$C,Partidos!$X$2,Partidos!$F:$F,$A7,Partidos!$G:$G,$B$3))</f>
        <v>0</v>
      </c>
      <c r="G7" s="10">
        <f>IF($A7="","",SUMIFS(Partidos!$R:$R,Partidos!$C:$C,Partidos!$X$2,Partidos!$D:$D,$B$3,Partidos!$E:$E,$A7)+SUMIFS(Partidos!$R:$R,Partidos!$C:$C,Partidos!$X$2,Partidos!$D:$D,$A7,Partidos!$E:$E,$B$3)+SUMIFS(Partidos!$Q:$Q,Partidos!$C:$C,Partidos!$X$2,Partidos!$F:$F,$B$3,Partidos!$G:$G,$A7)+SUMIFS(Partidos!$Q:$Q,Partidos!$C:$C,Partidos!$X$2,Partidos!$F:$F,$A7,Partidos!$G:$G,$B$3))</f>
        <v>0</v>
      </c>
      <c r="H7" s="10">
        <f>IF($A7="","",F7-G7)</f>
        <v>0</v>
      </c>
      <c r="I7" s="10">
        <f>IF($A7="","",IF($A7="","",SUMIFS(Partidos!$N:$N,Partidos!$C:$C,Partidos!$X$2,Partidos!$D:$D,$B$3,Partidos!$E:$E,$A7)+SUMIFS(Partidos!$N:$N,Partidos!$C:$C,Partidos!$X$2,Partidos!$D:$D,$A7,Partidos!$E:$E,$B$3)+SUMIFS(Partidos!$O:$O,Partidos!$C:$C,Partidos!$X$2,Partidos!$F:$F,$B$3,Partidos!$G:$G,$A7)+SUMIFS(Partidos!$O:$O,Partidos!$C:$C,Partidos!$X$2,Partidos!$F:$F,$A7,Partidos!$G:$G,$B$3)))</f>
        <v>0</v>
      </c>
      <c r="J7" s="10">
        <f>IF($A7="","",IF($A7="","",SUMIFS(Partidos!$O:$O,Partidos!$C:$C,Partidos!$X$2,Partidos!$D:$D,$B$3,Partidos!$E:$E,$A7)+SUMIFS(Partidos!$O:$O,Partidos!$C:$C,Partidos!$X$2,Partidos!$D:$D,$A7,Partidos!$E:$E,$B$3)+SUMIFS(Partidos!$N:$N,Partidos!$C:$C,Partidos!$X$2,Partidos!$F:$F,$B$3,Partidos!$G:$G,$A7)+SUMIFS(Partidos!$N:$N,Partidos!$C:$C,Partidos!$X$2,Partidos!$F:$F,$A7,Partidos!$G:$G,$B$3)))</f>
        <v>0</v>
      </c>
      <c r="K7" s="10">
        <f>IF($A7="","",I7-J7)</f>
        <v>0</v>
      </c>
      <c r="L7">
        <f>IF($A7="","",RANK($B7,$B$6:$B$65,0)+COUNTIFS($B$6:$B$65,$B7,$A$6:$A$65,"&gt;"&amp;$A7))</f>
        <v>15</v>
      </c>
      <c r="N7" s="12" t="str">
        <f>IFERROR(INDEX($A$6:$A$65,IF($K$2="PJ",MATCH(2,$L$6:$L$65,0),MATCH(2,$T$6:$T$65,0))),"")</f>
        <v>Israel Suárez</v>
      </c>
      <c r="O7" s="14">
        <f>IFERROR(INDEX($B$6:$B$65,IF($K$2="PJ",MATCH(2,$L$6:$L$65,0),MATCH(2,$T$6:$T$65,0))),"")</f>
        <v>3</v>
      </c>
      <c r="P7" s="10">
        <f>IFERROR(INDEX($C$6:$C$65,IF($K$2="PJ",MATCH(2,$L$6:$L$65,0),MATCH(2,$T$6:$T$65,0))),"")</f>
        <v>2</v>
      </c>
      <c r="Q7" s="10">
        <f>IFERROR(INDEX($D$6:$D$65,IF($K$2="PJ",MATCH(2,$L$6:$L$65,0),MATCH(2,$T$6:$T$65,0))),"")</f>
        <v>1</v>
      </c>
      <c r="R7" s="11">
        <f>IFERROR(INDEX($E$6:$E$65,IF($K$2="PJ",MATCH(2,$L$6:$L$65,0),MATCH(2,$T$6:$T$65,0))),"")</f>
        <v>0.66666666666666663</v>
      </c>
      <c r="S7" s="10">
        <f>IFERROR(INDEX($H$6:$H$65,IF($K$2="PJ",MATCH(2,$L$6:$L$65,0),MATCH(2,$T$6:$T$65,0))),"")</f>
        <v>-9</v>
      </c>
      <c r="T7" t="str">
        <f t="shared" si="0"/>
        <v/>
      </c>
    </row>
    <row r="8" spans="1:20" ht="28.8" x14ac:dyDescent="0.3">
      <c r="A8" s="9" t="str">
        <f>IF(Jugadores!B12="","",IF(Jugadores!B12=$B$3,"",Jugadores!B12))</f>
        <v>José Fernando</v>
      </c>
      <c r="B8" s="2">
        <f>IF($A8="","",COUNTIFS(Partidos!$C:$C,Partidos!$X$2,Partidos!$D:$D,$B$3,Partidos!$E:$E,$A8)+COUNTIFS(Partidos!$C:$C,Partidos!$X$2,Partidos!$D:$D,$A8,Partidos!$E:$E,$B$3)+COUNTIFS(Partidos!$C:$C,Partidos!$X$2,Partidos!$F:$F,$B$3,Partidos!$G:$G,$A8)+COUNTIFS(Partidos!$C:$C,Partidos!$X$2,Partidos!$F:$F,$A8,Partidos!$G:$G,$B$3))</f>
        <v>0</v>
      </c>
      <c r="C8" s="2">
        <f>IF($A8="","",COUNTIFS(Partidos!$C:$C,Partidos!$X$2,Partidos!$P:$P,"A",Partidos!$D:$D,$B$3,Partidos!$E:$E,$A8)+COUNTIFS(Partidos!$C:$C,Partidos!$X$2,Partidos!$P:$P,"A",Partidos!$D:$D,$A8,Partidos!$E:$E,$B$3)+COUNTIFS(Partidos!$C:$C,Partidos!$X$2,Partidos!$P:$P,"B",Partidos!$F:$F,$B$3,Partidos!$G:$G,$A8)+COUNTIFS(Partidos!$C:$C,Partidos!$X$2,Partidos!$P:$P,"B",Partidos!$F:$F,$A8,Partidos!$G:$G,$B$3))</f>
        <v>0</v>
      </c>
      <c r="D8" s="2">
        <f>IF($A8="","",B8-C8)</f>
        <v>0</v>
      </c>
      <c r="E8" s="46" t="str">
        <f>IF($A8="","",IF(B8=0,"",C8/B8))</f>
        <v/>
      </c>
      <c r="F8" s="10">
        <f>IF($A8="","",SUMIFS(Partidos!$Q:$Q,Partidos!$C:$C,Partidos!$X$2,Partidos!$D:$D,$B$3,Partidos!$E:$E,$A8)+SUMIFS(Partidos!$Q:$Q,Partidos!$C:$C,Partidos!$X$2,Partidos!$D:$D,$A8,Partidos!$E:$E,$B$3)+SUMIFS(Partidos!$R:$R,Partidos!$C:$C,Partidos!$X$2,Partidos!$F:$F,$B$3,Partidos!$G:$G,$A8)+SUMIFS(Partidos!$R:$R,Partidos!$C:$C,Partidos!$X$2,Partidos!$F:$F,$A8,Partidos!$G:$G,$B$3))</f>
        <v>0</v>
      </c>
      <c r="G8" s="10">
        <f>IF($A8="","",SUMIFS(Partidos!$R:$R,Partidos!$C:$C,Partidos!$X$2,Partidos!$D:$D,$B$3,Partidos!$E:$E,$A8)+SUMIFS(Partidos!$R:$R,Partidos!$C:$C,Partidos!$X$2,Partidos!$D:$D,$A8,Partidos!$E:$E,$B$3)+SUMIFS(Partidos!$Q:$Q,Partidos!$C:$C,Partidos!$X$2,Partidos!$F:$F,$B$3,Partidos!$G:$G,$A8)+SUMIFS(Partidos!$Q:$Q,Partidos!$C:$C,Partidos!$X$2,Partidos!$F:$F,$A8,Partidos!$G:$G,$B$3))</f>
        <v>0</v>
      </c>
      <c r="H8" s="10">
        <f>IF($A8="","",F8-G8)</f>
        <v>0</v>
      </c>
      <c r="I8" s="10">
        <f>IF($A8="","",IF($A8="","",SUMIFS(Partidos!$N:$N,Partidos!$C:$C,Partidos!$X$2,Partidos!$D:$D,$B$3,Partidos!$E:$E,$A8)+SUMIFS(Partidos!$N:$N,Partidos!$C:$C,Partidos!$X$2,Partidos!$D:$D,$A8,Partidos!$E:$E,$B$3)+SUMIFS(Partidos!$O:$O,Partidos!$C:$C,Partidos!$X$2,Partidos!$F:$F,$B$3,Partidos!$G:$G,$A8)+SUMIFS(Partidos!$O:$O,Partidos!$C:$C,Partidos!$X$2,Partidos!$F:$F,$A8,Partidos!$G:$G,$B$3)))</f>
        <v>0</v>
      </c>
      <c r="J8" s="10">
        <f>IF($A8="","",IF($A8="","",SUMIFS(Partidos!$O:$O,Partidos!$C:$C,Partidos!$X$2,Partidos!$D:$D,$B$3,Partidos!$E:$E,$A8)+SUMIFS(Partidos!$O:$O,Partidos!$C:$C,Partidos!$X$2,Partidos!$D:$D,$A8,Partidos!$E:$E,$B$3)+SUMIFS(Partidos!$N:$N,Partidos!$C:$C,Partidos!$X$2,Partidos!$F:$F,$B$3,Partidos!$G:$G,$A8)+SUMIFS(Partidos!$N:$N,Partidos!$C:$C,Partidos!$X$2,Partidos!$F:$F,$A8,Partidos!$G:$G,$B$3)))</f>
        <v>0</v>
      </c>
      <c r="K8" s="10">
        <f>IF($A8="","",I8-J8)</f>
        <v>0</v>
      </c>
      <c r="L8">
        <f>IF($A8="","",RANK($B8,$B$6:$B$65,0)+COUNTIFS($B$6:$B$65,$B8,$A$6:$A$65,"&gt;"&amp;$A8))</f>
        <v>14</v>
      </c>
      <c r="N8" s="12" t="str">
        <f>IFERROR(INDEX($A$6:$A$65,IF($K$2="PJ",MATCH(3,$L$6:$L$65,0),MATCH(3,$T$6:$T$65,0))),"")</f>
        <v>Carmelo Rosario</v>
      </c>
      <c r="O8" s="14">
        <f>IFERROR(INDEX($B$6:$B$65,IF($K$2="PJ",MATCH(3,$L$6:$L$65,0),MATCH(3,$T$6:$T$65,0))),"")</f>
        <v>5</v>
      </c>
      <c r="P8" s="10">
        <f>IFERROR(INDEX($C$6:$C$65,IF($K$2="PJ",MATCH(3,$L$6:$L$65,0),MATCH(3,$T$6:$T$65,0))),"")</f>
        <v>2</v>
      </c>
      <c r="Q8" s="10">
        <f>IFERROR(INDEX($D$6:$D$65,IF($K$2="PJ",MATCH(3,$L$6:$L$65,0),MATCH(3,$T$6:$T$65,0))),"")</f>
        <v>3</v>
      </c>
      <c r="R8" s="11">
        <f>IFERROR(INDEX($E$6:$E$65,IF($K$2="PJ",MATCH(3,$L$6:$L$65,0),MATCH(3,$T$6:$T$65,0))),"")</f>
        <v>0.4</v>
      </c>
      <c r="S8" s="10">
        <f>IFERROR(INDEX($H$6:$H$65,IF($K$2="PJ",MATCH(3,$L$6:$L$65,0),MATCH(3,$T$6:$T$65,0))),"")</f>
        <v>-4</v>
      </c>
      <c r="T8" t="str">
        <f t="shared" si="0"/>
        <v/>
      </c>
    </row>
    <row r="9" spans="1:20" x14ac:dyDescent="0.3">
      <c r="A9" s="9" t="str">
        <f>IF(Jugadores!B4="","",IF(Jugadores!B4=$B$3,"",Jugadores!B4))</f>
        <v>José López</v>
      </c>
      <c r="B9" s="2">
        <f>IF($A9="","",COUNTIFS(Partidos!$C:$C,Partidos!$X$2,Partidos!$D:$D,$B$3,Partidos!$E:$E,$A9)+COUNTIFS(Partidos!$C:$C,Partidos!$X$2,Partidos!$D:$D,$A9,Partidos!$E:$E,$B$3)+COUNTIFS(Partidos!$C:$C,Partidos!$X$2,Partidos!$F:$F,$B$3,Partidos!$G:$G,$A9)+COUNTIFS(Partidos!$C:$C,Partidos!$X$2,Partidos!$F:$F,$A9,Partidos!$G:$G,$B$3))</f>
        <v>1</v>
      </c>
      <c r="C9" s="2">
        <f>IF($A9="","",COUNTIFS(Partidos!$C:$C,Partidos!$X$2,Partidos!$P:$P,"A",Partidos!$D:$D,$B$3,Partidos!$E:$E,$A9)+COUNTIFS(Partidos!$C:$C,Partidos!$X$2,Partidos!$P:$P,"A",Partidos!$D:$D,$A9,Partidos!$E:$E,$B$3)+COUNTIFS(Partidos!$C:$C,Partidos!$X$2,Partidos!$P:$P,"B",Partidos!$F:$F,$B$3,Partidos!$G:$G,$A9)+COUNTIFS(Partidos!$C:$C,Partidos!$X$2,Partidos!$P:$P,"B",Partidos!$F:$F,$A9,Partidos!$G:$G,$B$3))</f>
        <v>1</v>
      </c>
      <c r="D9" s="2">
        <f>IF($A9="","",B9-C9)</f>
        <v>0</v>
      </c>
      <c r="E9" s="46">
        <f>IF($A9="","",IF(B9=0,"",C9/B9))</f>
        <v>1</v>
      </c>
      <c r="F9" s="10">
        <f>IF($A9="","",SUMIFS(Partidos!$Q:$Q,Partidos!$C:$C,Partidos!$X$2,Partidos!$D:$D,$B$3,Partidos!$E:$E,$A9)+SUMIFS(Partidos!$Q:$Q,Partidos!$C:$C,Partidos!$X$2,Partidos!$D:$D,$A9,Partidos!$E:$E,$B$3)+SUMIFS(Partidos!$R:$R,Partidos!$C:$C,Partidos!$X$2,Partidos!$F:$F,$B$3,Partidos!$G:$G,$A9)+SUMIFS(Partidos!$R:$R,Partidos!$C:$C,Partidos!$X$2,Partidos!$F:$F,$A9,Partidos!$G:$G,$B$3))</f>
        <v>12</v>
      </c>
      <c r="G9" s="10">
        <f>IF($A9="","",SUMIFS(Partidos!$R:$R,Partidos!$C:$C,Partidos!$X$2,Partidos!$D:$D,$B$3,Partidos!$E:$E,$A9)+SUMIFS(Partidos!$R:$R,Partidos!$C:$C,Partidos!$X$2,Partidos!$D:$D,$A9,Partidos!$E:$E,$B$3)+SUMIFS(Partidos!$Q:$Q,Partidos!$C:$C,Partidos!$X$2,Partidos!$F:$F,$B$3,Partidos!$G:$G,$A9)+SUMIFS(Partidos!$Q:$Q,Partidos!$C:$C,Partidos!$X$2,Partidos!$F:$F,$A9,Partidos!$G:$G,$B$3))</f>
        <v>5</v>
      </c>
      <c r="H9" s="10">
        <f>IF($A9="","",F9-G9)</f>
        <v>7</v>
      </c>
      <c r="I9" s="10">
        <f>IF($A9="","",IF($A9="","",SUMIFS(Partidos!$N:$N,Partidos!$C:$C,Partidos!$X$2,Partidos!$D:$D,$B$3,Partidos!$E:$E,$A9)+SUMIFS(Partidos!$N:$N,Partidos!$C:$C,Partidos!$X$2,Partidos!$D:$D,$A9,Partidos!$E:$E,$B$3)+SUMIFS(Partidos!$O:$O,Partidos!$C:$C,Partidos!$X$2,Partidos!$F:$F,$B$3,Partidos!$G:$G,$A9)+SUMIFS(Partidos!$O:$O,Partidos!$C:$C,Partidos!$X$2,Partidos!$F:$F,$A9,Partidos!$G:$G,$B$3)))</f>
        <v>2</v>
      </c>
      <c r="J9" s="10">
        <f>IF($A9="","",IF($A9="","",SUMIFS(Partidos!$O:$O,Partidos!$C:$C,Partidos!$X$2,Partidos!$D:$D,$B$3,Partidos!$E:$E,$A9)+SUMIFS(Partidos!$O:$O,Partidos!$C:$C,Partidos!$X$2,Partidos!$D:$D,$A9,Partidos!$E:$E,$B$3)+SUMIFS(Partidos!$N:$N,Partidos!$C:$C,Partidos!$X$2,Partidos!$F:$F,$B$3,Partidos!$G:$G,$A9)+SUMIFS(Partidos!$N:$N,Partidos!$C:$C,Partidos!$X$2,Partidos!$F:$F,$A9,Partidos!$G:$G,$B$3)))</f>
        <v>0</v>
      </c>
      <c r="K9" s="10">
        <f>IF($A9="","",I9-J9)</f>
        <v>2</v>
      </c>
      <c r="L9">
        <f>IF($A9="","",RANK($B9,$B$6:$B$65,0)+COUNTIFS($B$6:$B$65,$B9,$A$6:$A$65,"&gt;"&amp;$A9))</f>
        <v>9</v>
      </c>
      <c r="N9" s="12" t="str">
        <f>IFERROR(INDEX($A$6:$A$65,IF($K$2="PJ",MATCH(4,$L$6:$L$65,0),MATCH(4,$T$6:$T$65,0))),"")</f>
        <v>Javier suarez</v>
      </c>
      <c r="O9" s="14">
        <f>IFERROR(INDEX($B$6:$B$65,IF($K$2="PJ",MATCH(4,$L$6:$L$65,0),MATCH(4,$T$6:$T$65,0))),"")</f>
        <v>4</v>
      </c>
      <c r="P9" s="10">
        <f>IFERROR(INDEX($C$6:$C$65,IF($K$2="PJ",MATCH(4,$L$6:$L$65,0),MATCH(4,$T$6:$T$65,0))),"")</f>
        <v>1</v>
      </c>
      <c r="Q9" s="10">
        <f>IFERROR(INDEX($D$6:$D$65,IF($K$2="PJ",MATCH(4,$L$6:$L$65,0),MATCH(4,$T$6:$T$65,0))),"")</f>
        <v>3</v>
      </c>
      <c r="R9" s="11">
        <f>IFERROR(INDEX($E$6:$E$65,IF($K$2="PJ",MATCH(4,$L$6:$L$65,0),MATCH(4,$T$6:$T$65,0))),"")</f>
        <v>0.25</v>
      </c>
      <c r="S9" s="10">
        <f>IFERROR(INDEX($H$6:$H$65,IF($K$2="PJ",MATCH(4,$L$6:$L$65,0),MATCH(4,$T$6:$T$65,0))),"")</f>
        <v>-3</v>
      </c>
      <c r="T9">
        <f t="shared" si="0"/>
        <v>1</v>
      </c>
    </row>
    <row r="10" spans="1:20" x14ac:dyDescent="0.3">
      <c r="A10" s="9" t="str">
        <f>IF(Jugadores!B7="","",IF(Jugadores!B7=$B$3,"",Jugadores!B7))</f>
        <v>Israel Suárez</v>
      </c>
      <c r="B10" s="2">
        <f>IF($A10="","",COUNTIFS(Partidos!$C:$C,Partidos!$X$2,Partidos!$D:$D,$B$3,Partidos!$E:$E,$A10)+COUNTIFS(Partidos!$C:$C,Partidos!$X$2,Partidos!$D:$D,$A10,Partidos!$E:$E,$B$3)+COUNTIFS(Partidos!$C:$C,Partidos!$X$2,Partidos!$F:$F,$B$3,Partidos!$G:$G,$A10)+COUNTIFS(Partidos!$C:$C,Partidos!$X$2,Partidos!$F:$F,$A10,Partidos!$G:$G,$B$3))</f>
        <v>3</v>
      </c>
      <c r="C10" s="2">
        <f>IF($A10="","",COUNTIFS(Partidos!$C:$C,Partidos!$X$2,Partidos!$P:$P,"A",Partidos!$D:$D,$B$3,Partidos!$E:$E,$A10)+COUNTIFS(Partidos!$C:$C,Partidos!$X$2,Partidos!$P:$P,"A",Partidos!$D:$D,$A10,Partidos!$E:$E,$B$3)+COUNTIFS(Partidos!$C:$C,Partidos!$X$2,Partidos!$P:$P,"B",Partidos!$F:$F,$B$3,Partidos!$G:$G,$A10)+COUNTIFS(Partidos!$C:$C,Partidos!$X$2,Partidos!$P:$P,"B",Partidos!$F:$F,$A10,Partidos!$G:$G,$B$3))</f>
        <v>2</v>
      </c>
      <c r="D10" s="2">
        <f>IF($A10="","",B10-C10)</f>
        <v>1</v>
      </c>
      <c r="E10" s="46">
        <f>IF($A10="","",IF(B10=0,"",C10/B10))</f>
        <v>0.66666666666666663</v>
      </c>
      <c r="F10" s="10">
        <f>IF($A10="","",SUMIFS(Partidos!$Q:$Q,Partidos!$C:$C,Partidos!$X$2,Partidos!$D:$D,$B$3,Partidos!$E:$E,$A10)+SUMIFS(Partidos!$Q:$Q,Partidos!$C:$C,Partidos!$X$2,Partidos!$D:$D,$A10,Partidos!$E:$E,$B$3)+SUMIFS(Partidos!$R:$R,Partidos!$C:$C,Partidos!$X$2,Partidos!$F:$F,$B$3,Partidos!$G:$G,$A10)+SUMIFS(Partidos!$R:$R,Partidos!$C:$C,Partidos!$X$2,Partidos!$F:$F,$A10,Partidos!$G:$G,$B$3))</f>
        <v>29</v>
      </c>
      <c r="G10" s="10">
        <f>IF($A10="","",SUMIFS(Partidos!$R:$R,Partidos!$C:$C,Partidos!$X$2,Partidos!$D:$D,$B$3,Partidos!$E:$E,$A10)+SUMIFS(Partidos!$R:$R,Partidos!$C:$C,Partidos!$X$2,Partidos!$D:$D,$A10,Partidos!$E:$E,$B$3)+SUMIFS(Partidos!$Q:$Q,Partidos!$C:$C,Partidos!$X$2,Partidos!$F:$F,$B$3,Partidos!$G:$G,$A10)+SUMIFS(Partidos!$Q:$Q,Partidos!$C:$C,Partidos!$X$2,Partidos!$F:$F,$A10,Partidos!$G:$G,$B$3))</f>
        <v>38</v>
      </c>
      <c r="H10" s="10">
        <f>IF($A10="","",F10-G10)</f>
        <v>-9</v>
      </c>
      <c r="I10" s="10">
        <f>IF($A10="","",IF($A10="","",SUMIFS(Partidos!$N:$N,Partidos!$C:$C,Partidos!$X$2,Partidos!$D:$D,$B$3,Partidos!$E:$E,$A10)+SUMIFS(Partidos!$N:$N,Partidos!$C:$C,Partidos!$X$2,Partidos!$D:$D,$A10,Partidos!$E:$E,$B$3)+SUMIFS(Partidos!$O:$O,Partidos!$C:$C,Partidos!$X$2,Partidos!$F:$F,$B$3,Partidos!$G:$G,$A10)+SUMIFS(Partidos!$O:$O,Partidos!$C:$C,Partidos!$X$2,Partidos!$F:$F,$A10,Partidos!$G:$G,$B$3)))</f>
        <v>4</v>
      </c>
      <c r="J10" s="10">
        <f>IF($A10="","",IF($A10="","",SUMIFS(Partidos!$O:$O,Partidos!$C:$C,Partidos!$X$2,Partidos!$D:$D,$B$3,Partidos!$E:$E,$A10)+SUMIFS(Partidos!$O:$O,Partidos!$C:$C,Partidos!$X$2,Partidos!$D:$D,$A10,Partidos!$E:$E,$B$3)+SUMIFS(Partidos!$N:$N,Partidos!$C:$C,Partidos!$X$2,Partidos!$F:$F,$B$3,Partidos!$G:$G,$A10)+SUMIFS(Partidos!$N:$N,Partidos!$C:$C,Partidos!$X$2,Partidos!$F:$F,$A10,Partidos!$G:$G,$B$3)))</f>
        <v>4</v>
      </c>
      <c r="K10" s="10">
        <f>IF($A10="","",I10-J10)</f>
        <v>0</v>
      </c>
      <c r="L10">
        <f>IF($A10="","",RANK($B10,$B$6:$B$65,0)+COUNTIFS($B$6:$B$65,$B10,$A$6:$A$65,"&gt;"&amp;$A10))</f>
        <v>5</v>
      </c>
      <c r="N10" s="12" t="str">
        <f>IFERROR(INDEX($A$6:$A$65,IF($K$2="PJ",MATCH(5,$L$6:$L$65,0),MATCH(5,$T$6:$T$65,0))),"")</f>
        <v>Javier Bonilla</v>
      </c>
      <c r="O10" s="14">
        <f>IFERROR(INDEX($B$6:$B$65,IF($K$2="PJ",MATCH(5,$L$6:$L$65,0),MATCH(5,$T$6:$T$65,0))),"")</f>
        <v>6</v>
      </c>
      <c r="P10" s="10">
        <f>IFERROR(INDEX($C$6:$C$65,IF($K$2="PJ",MATCH(5,$L$6:$L$65,0),MATCH(5,$T$6:$T$65,0))),"")</f>
        <v>0</v>
      </c>
      <c r="Q10" s="10">
        <f>IFERROR(INDEX($D$6:$D$65,IF($K$2="PJ",MATCH(5,$L$6:$L$65,0),MATCH(5,$T$6:$T$65,0))),"")</f>
        <v>6</v>
      </c>
      <c r="R10" s="11">
        <f>IFERROR(INDEX($E$6:$E$65,IF($K$2="PJ",MATCH(5,$L$6:$L$65,0),MATCH(5,$T$6:$T$65,0))),"")</f>
        <v>0</v>
      </c>
      <c r="S10" s="10">
        <f>IFERROR(INDEX($H$6:$H$65,IF($K$2="PJ",MATCH(5,$L$6:$L$65,0),MATCH(5,$T$6:$T$65,0))),"")</f>
        <v>-39</v>
      </c>
      <c r="T10">
        <f t="shared" si="0"/>
        <v>2</v>
      </c>
    </row>
    <row r="11" spans="1:20" ht="28.8" x14ac:dyDescent="0.3">
      <c r="A11" s="9" t="str">
        <f>IF(Jugadores!B6="","",IF(Jugadores!B6=$B$3,"",Jugadores!B6))</f>
        <v>Carmelo Rosario</v>
      </c>
      <c r="B11" s="2">
        <f>IF($A11="","",COUNTIFS(Partidos!$C:$C,Partidos!$X$2,Partidos!$D:$D,$B$3,Partidos!$E:$E,$A11)+COUNTIFS(Partidos!$C:$C,Partidos!$X$2,Partidos!$D:$D,$A11,Partidos!$E:$E,$B$3)+COUNTIFS(Partidos!$C:$C,Partidos!$X$2,Partidos!$F:$F,$B$3,Partidos!$G:$G,$A11)+COUNTIFS(Partidos!$C:$C,Partidos!$X$2,Partidos!$F:$F,$A11,Partidos!$G:$G,$B$3))</f>
        <v>5</v>
      </c>
      <c r="C11" s="2">
        <f>IF($A11="","",COUNTIFS(Partidos!$C:$C,Partidos!$X$2,Partidos!$P:$P,"A",Partidos!$D:$D,$B$3,Partidos!$E:$E,$A11)+COUNTIFS(Partidos!$C:$C,Partidos!$X$2,Partidos!$P:$P,"A",Partidos!$D:$D,$A11,Partidos!$E:$E,$B$3)+COUNTIFS(Partidos!$C:$C,Partidos!$X$2,Partidos!$P:$P,"B",Partidos!$F:$F,$B$3,Partidos!$G:$G,$A11)+COUNTIFS(Partidos!$C:$C,Partidos!$X$2,Partidos!$P:$P,"B",Partidos!$F:$F,$A11,Partidos!$G:$G,$B$3))</f>
        <v>2</v>
      </c>
      <c r="D11" s="2">
        <f>IF($A11="","",B11-C11)</f>
        <v>3</v>
      </c>
      <c r="E11" s="46">
        <f>IF($A11="","",IF(B11=0,"",C11/B11))</f>
        <v>0.4</v>
      </c>
      <c r="F11" s="10">
        <f>IF($A11="","",SUMIFS(Partidos!$Q:$Q,Partidos!$C:$C,Partidos!$X$2,Partidos!$D:$D,$B$3,Partidos!$E:$E,$A11)+SUMIFS(Partidos!$Q:$Q,Partidos!$C:$C,Partidos!$X$2,Partidos!$D:$D,$A11,Partidos!$E:$E,$B$3)+SUMIFS(Partidos!$R:$R,Partidos!$C:$C,Partidos!$X$2,Partidos!$F:$F,$B$3,Partidos!$G:$G,$A11)+SUMIFS(Partidos!$R:$R,Partidos!$C:$C,Partidos!$X$2,Partidos!$F:$F,$A11,Partidos!$G:$G,$B$3))</f>
        <v>62</v>
      </c>
      <c r="G11" s="10">
        <f>IF($A11="","",SUMIFS(Partidos!$R:$R,Partidos!$C:$C,Partidos!$X$2,Partidos!$D:$D,$B$3,Partidos!$E:$E,$A11)+SUMIFS(Partidos!$R:$R,Partidos!$C:$C,Partidos!$X$2,Partidos!$D:$D,$A11,Partidos!$E:$E,$B$3)+SUMIFS(Partidos!$Q:$Q,Partidos!$C:$C,Partidos!$X$2,Partidos!$F:$F,$B$3,Partidos!$G:$G,$A11)+SUMIFS(Partidos!$Q:$Q,Partidos!$C:$C,Partidos!$X$2,Partidos!$F:$F,$A11,Partidos!$G:$G,$B$3))</f>
        <v>66</v>
      </c>
      <c r="H11" s="10">
        <f>IF($A11="","",F11-G11)</f>
        <v>-4</v>
      </c>
      <c r="I11" s="10">
        <f>IF($A11="","",IF($A11="","",SUMIFS(Partidos!$N:$N,Partidos!$C:$C,Partidos!$X$2,Partidos!$D:$D,$B$3,Partidos!$E:$E,$A11)+SUMIFS(Partidos!$N:$N,Partidos!$C:$C,Partidos!$X$2,Partidos!$D:$D,$A11,Partidos!$E:$E,$B$3)+SUMIFS(Partidos!$O:$O,Partidos!$C:$C,Partidos!$X$2,Partidos!$F:$F,$B$3,Partidos!$G:$G,$A11)+SUMIFS(Partidos!$O:$O,Partidos!$C:$C,Partidos!$X$2,Partidos!$F:$F,$A11,Partidos!$G:$G,$B$3)))</f>
        <v>6</v>
      </c>
      <c r="J11" s="10">
        <f>IF($A11="","",IF($A11="","",SUMIFS(Partidos!$O:$O,Partidos!$C:$C,Partidos!$X$2,Partidos!$D:$D,$B$3,Partidos!$E:$E,$A11)+SUMIFS(Partidos!$O:$O,Partidos!$C:$C,Partidos!$X$2,Partidos!$D:$D,$A11,Partidos!$E:$E,$B$3)+SUMIFS(Partidos!$N:$N,Partidos!$C:$C,Partidos!$X$2,Partidos!$F:$F,$B$3,Partidos!$G:$G,$A11)+SUMIFS(Partidos!$N:$N,Partidos!$C:$C,Partidos!$X$2,Partidos!$F:$F,$A11,Partidos!$G:$G,$B$3)))</f>
        <v>7</v>
      </c>
      <c r="K11" s="10">
        <f>IF($A11="","",I11-J11)</f>
        <v>-1</v>
      </c>
      <c r="L11">
        <f>IF($A11="","",RANK($B11,$B$6:$B$65,0)+COUNTIFS($B$6:$B$65,$B11,$A$6:$A$65,"&gt;"&amp;$A11))</f>
        <v>3</v>
      </c>
      <c r="N11" s="12" t="str">
        <f>IFERROR(INDEX($A$6:$A$65,IF($K$2="PJ",MATCH(6,$L$6:$L$65,0),MATCH(6,$T$6:$T$65,0))),"")</f>
        <v>Imobach González</v>
      </c>
      <c r="O11" s="14">
        <f>IFERROR(INDEX($B$6:$B$65,IF($K$2="PJ",MATCH(6,$L$6:$L$65,0),MATCH(6,$T$6:$T$65,0))),"")</f>
        <v>5</v>
      </c>
      <c r="P11" s="10">
        <f>IFERROR(INDEX($C$6:$C$65,IF($K$2="PJ",MATCH(6,$L$6:$L$65,0),MATCH(6,$T$6:$T$65,0))),"")</f>
        <v>0</v>
      </c>
      <c r="Q11" s="10">
        <f>IFERROR(INDEX($D$6:$D$65,IF($K$2="PJ",MATCH(6,$L$6:$L$65,0),MATCH(6,$T$6:$T$65,0))),"")</f>
        <v>5</v>
      </c>
      <c r="R11" s="11">
        <f>IFERROR(INDEX($E$6:$E$65,IF($K$2="PJ",MATCH(6,$L$6:$L$65,0),MATCH(6,$T$6:$T$65,0))),"")</f>
        <v>0</v>
      </c>
      <c r="S11" s="10">
        <f>IFERROR(INDEX($H$6:$H$65,IF($K$2="PJ",MATCH(6,$L$6:$L$65,0),MATCH(6,$T$6:$T$65,0))),"")</f>
        <v>-21</v>
      </c>
      <c r="T11">
        <f t="shared" si="0"/>
        <v>3</v>
      </c>
    </row>
    <row r="12" spans="1:20" x14ac:dyDescent="0.3">
      <c r="A12" s="9" t="str">
        <f>IF(Jugadores!B2="","",IF(Jugadores!B2=$B$3,"",Jugadores!B2))</f>
        <v>Javier suarez</v>
      </c>
      <c r="B12" s="2">
        <f>IF($A12="","",COUNTIFS(Partidos!$C:$C,Partidos!$X$2,Partidos!$D:$D,$B$3,Partidos!$E:$E,$A12)+COUNTIFS(Partidos!$C:$C,Partidos!$X$2,Partidos!$D:$D,$A12,Partidos!$E:$E,$B$3)+COUNTIFS(Partidos!$C:$C,Partidos!$X$2,Partidos!$F:$F,$B$3,Partidos!$G:$G,$A12)+COUNTIFS(Partidos!$C:$C,Partidos!$X$2,Partidos!$F:$F,$A12,Partidos!$G:$G,$B$3))</f>
        <v>4</v>
      </c>
      <c r="C12" s="2">
        <f>IF($A12="","",COUNTIFS(Partidos!$C:$C,Partidos!$X$2,Partidos!$P:$P,"A",Partidos!$D:$D,$B$3,Partidos!$E:$E,$A12)+COUNTIFS(Partidos!$C:$C,Partidos!$X$2,Partidos!$P:$P,"A",Partidos!$D:$D,$A12,Partidos!$E:$E,$B$3)+COUNTIFS(Partidos!$C:$C,Partidos!$X$2,Partidos!$P:$P,"B",Partidos!$F:$F,$B$3,Partidos!$G:$G,$A12)+COUNTIFS(Partidos!$C:$C,Partidos!$X$2,Partidos!$P:$P,"B",Partidos!$F:$F,$A12,Partidos!$G:$G,$B$3))</f>
        <v>1</v>
      </c>
      <c r="D12" s="2">
        <f>IF($A12="","",B12-C12)</f>
        <v>3</v>
      </c>
      <c r="E12" s="46">
        <f>IF($A12="","",IF(B12=0,"",C12/B12))</f>
        <v>0.25</v>
      </c>
      <c r="F12" s="10">
        <f>IF($A12="","",SUMIFS(Partidos!$Q:$Q,Partidos!$C:$C,Partidos!$X$2,Partidos!$D:$D,$B$3,Partidos!$E:$E,$A12)+SUMIFS(Partidos!$Q:$Q,Partidos!$C:$C,Partidos!$X$2,Partidos!$D:$D,$A12,Partidos!$E:$E,$B$3)+SUMIFS(Partidos!$R:$R,Partidos!$C:$C,Partidos!$X$2,Partidos!$F:$F,$B$3,Partidos!$G:$G,$A12)+SUMIFS(Partidos!$R:$R,Partidos!$C:$C,Partidos!$X$2,Partidos!$F:$F,$A12,Partidos!$G:$G,$B$3))</f>
        <v>54</v>
      </c>
      <c r="G12" s="10">
        <f>IF($A12="","",SUMIFS(Partidos!$R:$R,Partidos!$C:$C,Partidos!$X$2,Partidos!$D:$D,$B$3,Partidos!$E:$E,$A12)+SUMIFS(Partidos!$R:$R,Partidos!$C:$C,Partidos!$X$2,Partidos!$D:$D,$A12,Partidos!$E:$E,$B$3)+SUMIFS(Partidos!$Q:$Q,Partidos!$C:$C,Partidos!$X$2,Partidos!$F:$F,$B$3,Partidos!$G:$G,$A12)+SUMIFS(Partidos!$Q:$Q,Partidos!$C:$C,Partidos!$X$2,Partidos!$F:$F,$A12,Partidos!$G:$G,$B$3))</f>
        <v>57</v>
      </c>
      <c r="H12" s="10">
        <f>IF($A12="","",F12-G12)</f>
        <v>-3</v>
      </c>
      <c r="I12" s="10">
        <f>IF($A12="","",IF($A12="","",SUMIFS(Partidos!$N:$N,Partidos!$C:$C,Partidos!$X$2,Partidos!$D:$D,$B$3,Partidos!$E:$E,$A12)+SUMIFS(Partidos!$N:$N,Partidos!$C:$C,Partidos!$X$2,Partidos!$D:$D,$A12,Partidos!$E:$E,$B$3)+SUMIFS(Partidos!$O:$O,Partidos!$C:$C,Partidos!$X$2,Partidos!$F:$F,$B$3,Partidos!$G:$G,$A12)+SUMIFS(Partidos!$O:$O,Partidos!$C:$C,Partidos!$X$2,Partidos!$F:$F,$A12,Partidos!$G:$G,$B$3)))</f>
        <v>5</v>
      </c>
      <c r="J12" s="10">
        <f>IF($A12="","",IF($A12="","",SUMIFS(Partidos!$O:$O,Partidos!$C:$C,Partidos!$X$2,Partidos!$D:$D,$B$3,Partidos!$E:$E,$A12)+SUMIFS(Partidos!$O:$O,Partidos!$C:$C,Partidos!$X$2,Partidos!$D:$D,$A12,Partidos!$E:$E,$B$3)+SUMIFS(Partidos!$N:$N,Partidos!$C:$C,Partidos!$X$2,Partidos!$F:$F,$B$3,Partidos!$G:$G,$A12)+SUMIFS(Partidos!$N:$N,Partidos!$C:$C,Partidos!$X$2,Partidos!$F:$F,$A12,Partidos!$G:$G,$B$3)))</f>
        <v>6</v>
      </c>
      <c r="K12" s="10">
        <f>IF($A12="","",I12-J12)</f>
        <v>-1</v>
      </c>
      <c r="L12">
        <f>IF($A12="","",RANK($B12,$B$6:$B$65,0)+COUNTIFS($B$6:$B$65,$B12,$A$6:$A$65,"&gt;"&amp;$A12))</f>
        <v>4</v>
      </c>
      <c r="N12" s="12" t="str">
        <f>IFERROR(INDEX($A$6:$A$65,IF($K$2="PJ",MATCH(7,$L$6:$L$65,0),MATCH(7,$T$6:$T$65,0))),"")</f>
        <v>Cristo Marrero</v>
      </c>
      <c r="O12" s="14">
        <f>IFERROR(INDEX($B$6:$B$65,IF($K$2="PJ",MATCH(7,$L$6:$L$65,0),MATCH(7,$T$6:$T$65,0))),"")</f>
        <v>2</v>
      </c>
      <c r="P12" s="10">
        <f>IFERROR(INDEX($C$6:$C$65,IF($K$2="PJ",MATCH(7,$L$6:$L$65,0),MATCH(7,$T$6:$T$65,0))),"")</f>
        <v>0</v>
      </c>
      <c r="Q12" s="10">
        <f>IFERROR(INDEX($D$6:$D$65,IF($K$2="PJ",MATCH(7,$L$6:$L$65,0),MATCH(7,$T$6:$T$65,0))),"")</f>
        <v>2</v>
      </c>
      <c r="R12" s="11">
        <f>IFERROR(INDEX($E$6:$E$65,IF($K$2="PJ",MATCH(7,$L$6:$L$65,0),MATCH(7,$T$6:$T$65,0))),"")</f>
        <v>0</v>
      </c>
      <c r="S12" s="10">
        <f>IFERROR(INDEX($H$6:$H$65,IF($K$2="PJ",MATCH(7,$L$6:$L$65,0),MATCH(7,$T$6:$T$65,0))),"")</f>
        <v>-14</v>
      </c>
      <c r="T12">
        <f t="shared" si="0"/>
        <v>4</v>
      </c>
    </row>
    <row r="13" spans="1:20" ht="28.8" x14ac:dyDescent="0.3">
      <c r="A13" s="9" t="str">
        <f>IF(Jugadores!B11="","",IF(Jugadores!B11=$B$3,"",Jugadores!B11))</f>
        <v>Javier Bonilla</v>
      </c>
      <c r="B13" s="2">
        <f>IF($A13="","",COUNTIFS(Partidos!$C:$C,Partidos!$X$2,Partidos!$D:$D,$B$3,Partidos!$E:$E,$A13)+COUNTIFS(Partidos!$C:$C,Partidos!$X$2,Partidos!$D:$D,$A13,Partidos!$E:$E,$B$3)+COUNTIFS(Partidos!$C:$C,Partidos!$X$2,Partidos!$F:$F,$B$3,Partidos!$G:$G,$A13)+COUNTIFS(Partidos!$C:$C,Partidos!$X$2,Partidos!$F:$F,$A13,Partidos!$G:$G,$B$3))</f>
        <v>6</v>
      </c>
      <c r="C13" s="2">
        <f>IF($A13="","",COUNTIFS(Partidos!$C:$C,Partidos!$X$2,Partidos!$P:$P,"A",Partidos!$D:$D,$B$3,Partidos!$E:$E,$A13)+COUNTIFS(Partidos!$C:$C,Partidos!$X$2,Partidos!$P:$P,"A",Partidos!$D:$D,$A13,Partidos!$E:$E,$B$3)+COUNTIFS(Partidos!$C:$C,Partidos!$X$2,Partidos!$P:$P,"B",Partidos!$F:$F,$B$3,Partidos!$G:$G,$A13)+COUNTIFS(Partidos!$C:$C,Partidos!$X$2,Partidos!$P:$P,"B",Partidos!$F:$F,$A13,Partidos!$G:$G,$B$3))</f>
        <v>0</v>
      </c>
      <c r="D13" s="2">
        <f>IF($A13="","",B13-C13)</f>
        <v>6</v>
      </c>
      <c r="E13" s="46">
        <f>IF($A13="","",IF(B13=0,"",C13/B13))</f>
        <v>0</v>
      </c>
      <c r="F13" s="10">
        <f>IF($A13="","",SUMIFS(Partidos!$Q:$Q,Partidos!$C:$C,Partidos!$X$2,Partidos!$D:$D,$B$3,Partidos!$E:$E,$A13)+SUMIFS(Partidos!$Q:$Q,Partidos!$C:$C,Partidos!$X$2,Partidos!$D:$D,$A13,Partidos!$E:$E,$B$3)+SUMIFS(Partidos!$R:$R,Partidos!$C:$C,Partidos!$X$2,Partidos!$F:$F,$B$3,Partidos!$G:$G,$A13)+SUMIFS(Partidos!$R:$R,Partidos!$C:$C,Partidos!$X$2,Partidos!$F:$F,$A13,Partidos!$G:$G,$B$3))</f>
        <v>39</v>
      </c>
      <c r="G13" s="10">
        <f>IF($A13="","",SUMIFS(Partidos!$R:$R,Partidos!$C:$C,Partidos!$X$2,Partidos!$D:$D,$B$3,Partidos!$E:$E,$A13)+SUMIFS(Partidos!$R:$R,Partidos!$C:$C,Partidos!$X$2,Partidos!$D:$D,$A13,Partidos!$E:$E,$B$3)+SUMIFS(Partidos!$Q:$Q,Partidos!$C:$C,Partidos!$X$2,Partidos!$F:$F,$B$3,Partidos!$G:$G,$A13)+SUMIFS(Partidos!$Q:$Q,Partidos!$C:$C,Partidos!$X$2,Partidos!$F:$F,$A13,Partidos!$G:$G,$B$3))</f>
        <v>78</v>
      </c>
      <c r="H13" s="10">
        <f>IF($A13="","",F13-G13)</f>
        <v>-39</v>
      </c>
      <c r="I13" s="10">
        <f>IF($A13="","",IF($A13="","",SUMIFS(Partidos!$N:$N,Partidos!$C:$C,Partidos!$X$2,Partidos!$D:$D,$B$3,Partidos!$E:$E,$A13)+SUMIFS(Partidos!$N:$N,Partidos!$C:$C,Partidos!$X$2,Partidos!$D:$D,$A13,Partidos!$E:$E,$B$3)+SUMIFS(Partidos!$O:$O,Partidos!$C:$C,Partidos!$X$2,Partidos!$F:$F,$B$3,Partidos!$G:$G,$A13)+SUMIFS(Partidos!$O:$O,Partidos!$C:$C,Partidos!$X$2,Partidos!$F:$F,$A13,Partidos!$G:$G,$B$3)))</f>
        <v>1</v>
      </c>
      <c r="J13" s="10">
        <f>IF($A13="","",IF($A13="","",SUMIFS(Partidos!$O:$O,Partidos!$C:$C,Partidos!$X$2,Partidos!$D:$D,$B$3,Partidos!$E:$E,$A13)+SUMIFS(Partidos!$O:$O,Partidos!$C:$C,Partidos!$X$2,Partidos!$D:$D,$A13,Partidos!$E:$E,$B$3)+SUMIFS(Partidos!$N:$N,Partidos!$C:$C,Partidos!$X$2,Partidos!$F:$F,$B$3,Partidos!$G:$G,$A13)+SUMIFS(Partidos!$N:$N,Partidos!$C:$C,Partidos!$X$2,Partidos!$F:$F,$A13,Partidos!$G:$G,$B$3)))</f>
        <v>12</v>
      </c>
      <c r="K13" s="10">
        <f>IF($A13="","",I13-J13)</f>
        <v>-11</v>
      </c>
      <c r="L13">
        <f>IF($A13="","",RANK($B13,$B$6:$B$65,0)+COUNTIFS($B$6:$B$65,$B13,$A$6:$A$65,"&gt;"&amp;$A13))</f>
        <v>1</v>
      </c>
      <c r="N13" s="12" t="str">
        <f>IFERROR(INDEX($A$6:$A$65,IF($K$2="PJ",MATCH(8,$L$6:$L$65,0),MATCH(8,$T$6:$T$65,0))),"")</f>
        <v>Wilfredo Santana</v>
      </c>
      <c r="O13" s="14">
        <f>IFERROR(INDEX($B$6:$B$65,IF($K$2="PJ",MATCH(8,$L$6:$L$65,0),MATCH(8,$T$6:$T$65,0))),"")</f>
        <v>1</v>
      </c>
      <c r="P13" s="10">
        <f>IFERROR(INDEX($C$6:$C$65,IF($K$2="PJ",MATCH(8,$L$6:$L$65,0),MATCH(8,$T$6:$T$65,0))),"")</f>
        <v>0</v>
      </c>
      <c r="Q13" s="10">
        <f>IFERROR(INDEX($D$6:$D$65,IF($K$2="PJ",MATCH(8,$L$6:$L$65,0),MATCH(8,$T$6:$T$65,0))),"")</f>
        <v>1</v>
      </c>
      <c r="R13" s="11">
        <f>IFERROR(INDEX($E$6:$E$65,IF($K$2="PJ",MATCH(8,$L$6:$L$65,0),MATCH(8,$T$6:$T$65,0))),"")</f>
        <v>0</v>
      </c>
      <c r="S13" s="10">
        <f>IFERROR(INDEX($H$6:$H$65,IF($K$2="PJ",MATCH(8,$L$6:$L$65,0),MATCH(8,$T$6:$T$65,0))),"")</f>
        <v>-6</v>
      </c>
      <c r="T13">
        <f t="shared" si="0"/>
        <v>5</v>
      </c>
    </row>
    <row r="14" spans="1:20" x14ac:dyDescent="0.3">
      <c r="A14" s="9" t="str">
        <f>IF(Jugadores!B3="","",IF(Jugadores!B3=$B$3,"",Jugadores!B3))</f>
        <v>Imobach González</v>
      </c>
      <c r="B14" s="2">
        <f>IF($A14="","",COUNTIFS(Partidos!$C:$C,Partidos!$X$2,Partidos!$D:$D,$B$3,Partidos!$E:$E,$A14)+COUNTIFS(Partidos!$C:$C,Partidos!$X$2,Partidos!$D:$D,$A14,Partidos!$E:$E,$B$3)+COUNTIFS(Partidos!$C:$C,Partidos!$X$2,Partidos!$F:$F,$B$3,Partidos!$G:$G,$A14)+COUNTIFS(Partidos!$C:$C,Partidos!$X$2,Partidos!$F:$F,$A14,Partidos!$G:$G,$B$3))</f>
        <v>5</v>
      </c>
      <c r="C14" s="2">
        <f>IF($A14="","",COUNTIFS(Partidos!$C:$C,Partidos!$X$2,Partidos!$P:$P,"A",Partidos!$D:$D,$B$3,Partidos!$E:$E,$A14)+COUNTIFS(Partidos!$C:$C,Partidos!$X$2,Partidos!$P:$P,"A",Partidos!$D:$D,$A14,Partidos!$E:$E,$B$3)+COUNTIFS(Partidos!$C:$C,Partidos!$X$2,Partidos!$P:$P,"B",Partidos!$F:$F,$B$3,Partidos!$G:$G,$A14)+COUNTIFS(Partidos!$C:$C,Partidos!$X$2,Partidos!$P:$P,"B",Partidos!$F:$F,$A14,Partidos!$G:$G,$B$3))</f>
        <v>0</v>
      </c>
      <c r="D14" s="2">
        <f>IF($A14="","",B14-C14)</f>
        <v>5</v>
      </c>
      <c r="E14" s="46">
        <f>IF($A14="","",IF(B14=0,"",C14/B14))</f>
        <v>0</v>
      </c>
      <c r="F14" s="10">
        <f>IF($A14="","",SUMIFS(Partidos!$Q:$Q,Partidos!$C:$C,Partidos!$X$2,Partidos!$D:$D,$B$3,Partidos!$E:$E,$A14)+SUMIFS(Partidos!$Q:$Q,Partidos!$C:$C,Partidos!$X$2,Partidos!$D:$D,$A14,Partidos!$E:$E,$B$3)+SUMIFS(Partidos!$R:$R,Partidos!$C:$C,Partidos!$X$2,Partidos!$F:$F,$B$3,Partidos!$G:$G,$A14)+SUMIFS(Partidos!$R:$R,Partidos!$C:$C,Partidos!$X$2,Partidos!$F:$F,$A14,Partidos!$G:$G,$B$3))</f>
        <v>52</v>
      </c>
      <c r="G14" s="10">
        <f>IF($A14="","",SUMIFS(Partidos!$R:$R,Partidos!$C:$C,Partidos!$X$2,Partidos!$D:$D,$B$3,Partidos!$E:$E,$A14)+SUMIFS(Partidos!$R:$R,Partidos!$C:$C,Partidos!$X$2,Partidos!$D:$D,$A14,Partidos!$E:$E,$B$3)+SUMIFS(Partidos!$Q:$Q,Partidos!$C:$C,Partidos!$X$2,Partidos!$F:$F,$B$3,Partidos!$G:$G,$A14)+SUMIFS(Partidos!$Q:$Q,Partidos!$C:$C,Partidos!$X$2,Partidos!$F:$F,$A14,Partidos!$G:$G,$B$3))</f>
        <v>73</v>
      </c>
      <c r="H14" s="10">
        <f>IF($A14="","",F14-G14)</f>
        <v>-21</v>
      </c>
      <c r="I14" s="10">
        <f>IF($A14="","",IF($A14="","",SUMIFS(Partidos!$N:$N,Partidos!$C:$C,Partidos!$X$2,Partidos!$D:$D,$B$3,Partidos!$E:$E,$A14)+SUMIFS(Partidos!$N:$N,Partidos!$C:$C,Partidos!$X$2,Partidos!$D:$D,$A14,Partidos!$E:$E,$B$3)+SUMIFS(Partidos!$O:$O,Partidos!$C:$C,Partidos!$X$2,Partidos!$F:$F,$B$3,Partidos!$G:$G,$A14)+SUMIFS(Partidos!$O:$O,Partidos!$C:$C,Partidos!$X$2,Partidos!$F:$F,$A14,Partidos!$G:$G,$B$3)))</f>
        <v>3</v>
      </c>
      <c r="J14" s="10">
        <f>IF($A14="","",IF($A14="","",SUMIFS(Partidos!$O:$O,Partidos!$C:$C,Partidos!$X$2,Partidos!$D:$D,$B$3,Partidos!$E:$E,$A14)+SUMIFS(Partidos!$O:$O,Partidos!$C:$C,Partidos!$X$2,Partidos!$D:$D,$A14,Partidos!$E:$E,$B$3)+SUMIFS(Partidos!$N:$N,Partidos!$C:$C,Partidos!$X$2,Partidos!$F:$F,$B$3,Partidos!$G:$G,$A14)+SUMIFS(Partidos!$N:$N,Partidos!$C:$C,Partidos!$X$2,Partidos!$F:$F,$A14,Partidos!$G:$G,$B$3)))</f>
        <v>10</v>
      </c>
      <c r="K14" s="10">
        <f>IF($A14="","",I14-J14)</f>
        <v>-7</v>
      </c>
      <c r="L14">
        <f>IF($A14="","",RANK($B14,$B$6:$B$65,0)+COUNTIFS($B$6:$B$65,$B14,$A$6:$A$65,"&gt;"&amp;$A14))</f>
        <v>2</v>
      </c>
      <c r="N14" s="12" t="str">
        <f>IFERROR(INDEX($A$6:$A$65,IF($K$2="PJ",MATCH(9,$L$6:$L$65,0),MATCH(9,$T$6:$T$65,0))),"")</f>
        <v>Nacho Navidad</v>
      </c>
      <c r="O14" s="14">
        <f>IFERROR(INDEX($B$6:$B$65,IF($K$2="PJ",MATCH(9,$L$6:$L$65,0),MATCH(9,$T$6:$T$65,0))),"")</f>
        <v>1</v>
      </c>
      <c r="P14" s="10">
        <f>IFERROR(INDEX($C$6:$C$65,IF($K$2="PJ",MATCH(9,$L$6:$L$65,0),MATCH(9,$T$6:$T$65,0))),"")</f>
        <v>0</v>
      </c>
      <c r="Q14" s="10">
        <f>IFERROR(INDEX($D$6:$D$65,IF($K$2="PJ",MATCH(9,$L$6:$L$65,0),MATCH(9,$T$6:$T$65,0))),"")</f>
        <v>1</v>
      </c>
      <c r="R14" s="11">
        <f>IFERROR(INDEX($E$6:$E$65,IF($K$2="PJ",MATCH(9,$L$6:$L$65,0),MATCH(9,$T$6:$T$65,0))),"")</f>
        <v>0</v>
      </c>
      <c r="S14" s="10">
        <f>IFERROR(INDEX($H$6:$H$65,IF($K$2="PJ",MATCH(9,$L$6:$L$65,0),MATCH(9,$T$6:$T$65,0))),"")</f>
        <v>-10</v>
      </c>
      <c r="T14">
        <f t="shared" si="0"/>
        <v>6</v>
      </c>
    </row>
    <row r="15" spans="1:20" ht="28.8" x14ac:dyDescent="0.3">
      <c r="A15" s="9" t="str">
        <f>IF(Jugadores!B8="","",IF(Jugadores!B8=$B$3,"",Jugadores!B8))</f>
        <v>Cristo Marrero</v>
      </c>
      <c r="B15" s="2">
        <f>IF($A15="","",COUNTIFS(Partidos!$C:$C,Partidos!$X$2,Partidos!$D:$D,$B$3,Partidos!$E:$E,$A15)+COUNTIFS(Partidos!$C:$C,Partidos!$X$2,Partidos!$D:$D,$A15,Partidos!$E:$E,$B$3)+COUNTIFS(Partidos!$C:$C,Partidos!$X$2,Partidos!$F:$F,$B$3,Partidos!$G:$G,$A15)+COUNTIFS(Partidos!$C:$C,Partidos!$X$2,Partidos!$F:$F,$A15,Partidos!$G:$G,$B$3))</f>
        <v>2</v>
      </c>
      <c r="C15" s="2">
        <f>IF($A15="","",COUNTIFS(Partidos!$C:$C,Partidos!$X$2,Partidos!$P:$P,"A",Partidos!$D:$D,$B$3,Partidos!$E:$E,$A15)+COUNTIFS(Partidos!$C:$C,Partidos!$X$2,Partidos!$P:$P,"A",Partidos!$D:$D,$A15,Partidos!$E:$E,$B$3)+COUNTIFS(Partidos!$C:$C,Partidos!$X$2,Partidos!$P:$P,"B",Partidos!$F:$F,$B$3,Partidos!$G:$G,$A15)+COUNTIFS(Partidos!$C:$C,Partidos!$X$2,Partidos!$P:$P,"B",Partidos!$F:$F,$A15,Partidos!$G:$G,$B$3))</f>
        <v>0</v>
      </c>
      <c r="D15" s="2">
        <f>IF($A15="","",B15-C15)</f>
        <v>2</v>
      </c>
      <c r="E15" s="46">
        <f>IF($A15="","",IF(B15=0,"",C15/B15))</f>
        <v>0</v>
      </c>
      <c r="F15" s="10">
        <f>IF($A15="","",SUMIFS(Partidos!$Q:$Q,Partidos!$C:$C,Partidos!$X$2,Partidos!$D:$D,$B$3,Partidos!$E:$E,$A15)+SUMIFS(Partidos!$Q:$Q,Partidos!$C:$C,Partidos!$X$2,Partidos!$D:$D,$A15,Partidos!$E:$E,$B$3)+SUMIFS(Partidos!$R:$R,Partidos!$C:$C,Partidos!$X$2,Partidos!$F:$F,$B$3,Partidos!$G:$G,$A15)+SUMIFS(Partidos!$R:$R,Partidos!$C:$C,Partidos!$X$2,Partidos!$F:$F,$A15,Partidos!$G:$G,$B$3))</f>
        <v>10</v>
      </c>
      <c r="G15" s="10">
        <f>IF($A15="","",SUMIFS(Partidos!$R:$R,Partidos!$C:$C,Partidos!$X$2,Partidos!$D:$D,$B$3,Partidos!$E:$E,$A15)+SUMIFS(Partidos!$R:$R,Partidos!$C:$C,Partidos!$X$2,Partidos!$D:$D,$A15,Partidos!$E:$E,$B$3)+SUMIFS(Partidos!$Q:$Q,Partidos!$C:$C,Partidos!$X$2,Partidos!$F:$F,$B$3,Partidos!$G:$G,$A15)+SUMIFS(Partidos!$Q:$Q,Partidos!$C:$C,Partidos!$X$2,Partidos!$F:$F,$A15,Partidos!$G:$G,$B$3))</f>
        <v>24</v>
      </c>
      <c r="H15" s="10">
        <f>IF($A15="","",F15-G15)</f>
        <v>-14</v>
      </c>
      <c r="I15" s="10">
        <f>IF($A15="","",IF($A15="","",SUMIFS(Partidos!$N:$N,Partidos!$C:$C,Partidos!$X$2,Partidos!$D:$D,$B$3,Partidos!$E:$E,$A15)+SUMIFS(Partidos!$N:$N,Partidos!$C:$C,Partidos!$X$2,Partidos!$D:$D,$A15,Partidos!$E:$E,$B$3)+SUMIFS(Partidos!$O:$O,Partidos!$C:$C,Partidos!$X$2,Partidos!$F:$F,$B$3,Partidos!$G:$G,$A15)+SUMIFS(Partidos!$O:$O,Partidos!$C:$C,Partidos!$X$2,Partidos!$F:$F,$A15,Partidos!$G:$G,$B$3)))</f>
        <v>0</v>
      </c>
      <c r="J15" s="10">
        <f>IF($A15="","",IF($A15="","",SUMIFS(Partidos!$O:$O,Partidos!$C:$C,Partidos!$X$2,Partidos!$D:$D,$B$3,Partidos!$E:$E,$A15)+SUMIFS(Partidos!$O:$O,Partidos!$C:$C,Partidos!$X$2,Partidos!$D:$D,$A15,Partidos!$E:$E,$B$3)+SUMIFS(Partidos!$N:$N,Partidos!$C:$C,Partidos!$X$2,Partidos!$F:$F,$B$3,Partidos!$G:$G,$A15)+SUMIFS(Partidos!$N:$N,Partidos!$C:$C,Partidos!$X$2,Partidos!$F:$F,$A15,Partidos!$G:$G,$B$3)))</f>
        <v>4</v>
      </c>
      <c r="K15" s="10">
        <f>IF($A15="","",I15-J15)</f>
        <v>-4</v>
      </c>
      <c r="L15">
        <f>IF($A15="","",RANK($B15,$B$6:$B$65,0)+COUNTIFS($B$6:$B$65,$B15,$A$6:$A$65,"&gt;"&amp;$A15))</f>
        <v>6</v>
      </c>
      <c r="N15" s="12" t="str">
        <f>IFERROR(INDEX($A$6:$A$65,IF($K$2="PJ",MATCH(10,$L$6:$L$65,0),MATCH(10,$T$6:$T$65,0))),"")</f>
        <v>Guillermo Medina</v>
      </c>
      <c r="O15" s="14">
        <f>IFERROR(INDEX($B$6:$B$65,IF($K$2="PJ",MATCH(10,$L$6:$L$65,0),MATCH(10,$T$6:$T$65,0))),"")</f>
        <v>1</v>
      </c>
      <c r="P15" s="10">
        <f>IFERROR(INDEX($C$6:$C$65,IF($K$2="PJ",MATCH(10,$L$6:$L$65,0),MATCH(10,$T$6:$T$65,0))),"")</f>
        <v>0</v>
      </c>
      <c r="Q15" s="10">
        <f>IFERROR(INDEX($D$6:$D$65,IF($K$2="PJ",MATCH(10,$L$6:$L$65,0),MATCH(10,$T$6:$T$65,0))),"")</f>
        <v>1</v>
      </c>
      <c r="R15" s="11">
        <f>IFERROR(INDEX($E$6:$E$65,IF($K$2="PJ",MATCH(10,$L$6:$L$65,0),MATCH(10,$T$6:$T$65,0))),"")</f>
        <v>0</v>
      </c>
      <c r="S15" s="10">
        <f>IFERROR(INDEX($H$6:$H$65,IF($K$2="PJ",MATCH(10,$L$6:$L$65,0),MATCH(10,$T$6:$T$65,0))),"")</f>
        <v>-8</v>
      </c>
      <c r="T15">
        <f t="shared" si="0"/>
        <v>7</v>
      </c>
    </row>
    <row r="16" spans="1:20" x14ac:dyDescent="0.3">
      <c r="A16" s="9" t="str">
        <f>IF(Jugadores!B13="","",IF(Jugadores!B13=$B$3,"",Jugadores!B13))</f>
        <v>Guillermo Medina</v>
      </c>
      <c r="B16" s="2">
        <f>IF($A16="","",COUNTIFS(Partidos!$C:$C,Partidos!$X$2,Partidos!$D:$D,$B$3,Partidos!$E:$E,$A16)+COUNTIFS(Partidos!$C:$C,Partidos!$X$2,Partidos!$D:$D,$A16,Partidos!$E:$E,$B$3)+COUNTIFS(Partidos!$C:$C,Partidos!$X$2,Partidos!$F:$F,$B$3,Partidos!$G:$G,$A16)+COUNTIFS(Partidos!$C:$C,Partidos!$X$2,Partidos!$F:$F,$A16,Partidos!$G:$G,$B$3))</f>
        <v>1</v>
      </c>
      <c r="C16" s="2">
        <f>IF($A16="","",COUNTIFS(Partidos!$C:$C,Partidos!$X$2,Partidos!$P:$P,"A",Partidos!$D:$D,$B$3,Partidos!$E:$E,$A16)+COUNTIFS(Partidos!$C:$C,Partidos!$X$2,Partidos!$P:$P,"A",Partidos!$D:$D,$A16,Partidos!$E:$E,$B$3)+COUNTIFS(Partidos!$C:$C,Partidos!$X$2,Partidos!$P:$P,"B",Partidos!$F:$F,$B$3,Partidos!$G:$G,$A16)+COUNTIFS(Partidos!$C:$C,Partidos!$X$2,Partidos!$P:$P,"B",Partidos!$F:$F,$A16,Partidos!$G:$G,$B$3))</f>
        <v>0</v>
      </c>
      <c r="D16" s="2">
        <f>IF($A16="","",B16-C16)</f>
        <v>1</v>
      </c>
      <c r="E16" s="46">
        <f>IF($A16="","",IF(B16=0,"",C16/B16))</f>
        <v>0</v>
      </c>
      <c r="F16" s="10">
        <f>IF($A16="","",SUMIFS(Partidos!$Q:$Q,Partidos!$C:$C,Partidos!$X$2,Partidos!$D:$D,$B$3,Partidos!$E:$E,$A16)+SUMIFS(Partidos!$Q:$Q,Partidos!$C:$C,Partidos!$X$2,Partidos!$D:$D,$A16,Partidos!$E:$E,$B$3)+SUMIFS(Partidos!$R:$R,Partidos!$C:$C,Partidos!$X$2,Partidos!$F:$F,$B$3,Partidos!$G:$G,$A16)+SUMIFS(Partidos!$R:$R,Partidos!$C:$C,Partidos!$X$2,Partidos!$F:$F,$A16,Partidos!$G:$G,$B$3))</f>
        <v>4</v>
      </c>
      <c r="G16" s="10">
        <f>IF($A16="","",SUMIFS(Partidos!$R:$R,Partidos!$C:$C,Partidos!$X$2,Partidos!$D:$D,$B$3,Partidos!$E:$E,$A16)+SUMIFS(Partidos!$R:$R,Partidos!$C:$C,Partidos!$X$2,Partidos!$D:$D,$A16,Partidos!$E:$E,$B$3)+SUMIFS(Partidos!$Q:$Q,Partidos!$C:$C,Partidos!$X$2,Partidos!$F:$F,$B$3,Partidos!$G:$G,$A16)+SUMIFS(Partidos!$Q:$Q,Partidos!$C:$C,Partidos!$X$2,Partidos!$F:$F,$A16,Partidos!$G:$G,$B$3))</f>
        <v>12</v>
      </c>
      <c r="H16" s="10">
        <f>IF($A16="","",F16-G16)</f>
        <v>-8</v>
      </c>
      <c r="I16" s="10">
        <f>IF($A16="","",IF($A16="","",SUMIFS(Partidos!$N:$N,Partidos!$C:$C,Partidos!$X$2,Partidos!$D:$D,$B$3,Partidos!$E:$E,$A16)+SUMIFS(Partidos!$N:$N,Partidos!$C:$C,Partidos!$X$2,Partidos!$D:$D,$A16,Partidos!$E:$E,$B$3)+SUMIFS(Partidos!$O:$O,Partidos!$C:$C,Partidos!$X$2,Partidos!$F:$F,$B$3,Partidos!$G:$G,$A16)+SUMIFS(Partidos!$O:$O,Partidos!$C:$C,Partidos!$X$2,Partidos!$F:$F,$A16,Partidos!$G:$G,$B$3)))</f>
        <v>0</v>
      </c>
      <c r="J16" s="10">
        <f>IF($A16="","",IF($A16="","",SUMIFS(Partidos!$O:$O,Partidos!$C:$C,Partidos!$X$2,Partidos!$D:$D,$B$3,Partidos!$E:$E,$A16)+SUMIFS(Partidos!$O:$O,Partidos!$C:$C,Partidos!$X$2,Partidos!$D:$D,$A16,Partidos!$E:$E,$B$3)+SUMIFS(Partidos!$N:$N,Partidos!$C:$C,Partidos!$X$2,Partidos!$F:$F,$B$3,Partidos!$G:$G,$A16)+SUMIFS(Partidos!$N:$N,Partidos!$C:$C,Partidos!$X$2,Partidos!$F:$F,$A16,Partidos!$G:$G,$B$3)))</f>
        <v>2</v>
      </c>
      <c r="K16" s="10">
        <f>IF($A16="","",I16-J16)</f>
        <v>-2</v>
      </c>
      <c r="L16">
        <f>IF($A16="","",RANK($B16,$B$6:$B$65,0)+COUNTIFS($B$6:$B$65,$B16,$A$6:$A$65,"&gt;"&amp;$A16))</f>
        <v>10</v>
      </c>
      <c r="T16">
        <f t="shared" si="0"/>
        <v>10</v>
      </c>
    </row>
    <row r="17" spans="1:20" x14ac:dyDescent="0.3">
      <c r="A17" s="9" t="str">
        <f>IF(Jugadores!B15="","",IF(Jugadores!B15=$B$3,"",Jugadores!B15))</f>
        <v>Nacho Navidad</v>
      </c>
      <c r="B17" s="2">
        <f>IF($A17="","",COUNTIFS(Partidos!$C:$C,Partidos!$X$2,Partidos!$D:$D,$B$3,Partidos!$E:$E,$A17)+COUNTIFS(Partidos!$C:$C,Partidos!$X$2,Partidos!$D:$D,$A17,Partidos!$E:$E,$B$3)+COUNTIFS(Partidos!$C:$C,Partidos!$X$2,Partidos!$F:$F,$B$3,Partidos!$G:$G,$A17)+COUNTIFS(Partidos!$C:$C,Partidos!$X$2,Partidos!$F:$F,$A17,Partidos!$G:$G,$B$3))</f>
        <v>1</v>
      </c>
      <c r="C17" s="2">
        <f>IF($A17="","",COUNTIFS(Partidos!$C:$C,Partidos!$X$2,Partidos!$P:$P,"A",Partidos!$D:$D,$B$3,Partidos!$E:$E,$A17)+COUNTIFS(Partidos!$C:$C,Partidos!$X$2,Partidos!$P:$P,"A",Partidos!$D:$D,$A17,Partidos!$E:$E,$B$3)+COUNTIFS(Partidos!$C:$C,Partidos!$X$2,Partidos!$P:$P,"B",Partidos!$F:$F,$B$3,Partidos!$G:$G,$A17)+COUNTIFS(Partidos!$C:$C,Partidos!$X$2,Partidos!$P:$P,"B",Partidos!$F:$F,$A17,Partidos!$G:$G,$B$3))</f>
        <v>0</v>
      </c>
      <c r="D17" s="2">
        <f>IF($A17="","",B17-C17)</f>
        <v>1</v>
      </c>
      <c r="E17" s="46">
        <f>IF($A17="","",IF(B17=0,"",C17/B17))</f>
        <v>0</v>
      </c>
      <c r="F17" s="10">
        <f>IF($A17="","",SUMIFS(Partidos!$Q:$Q,Partidos!$C:$C,Partidos!$X$2,Partidos!$D:$D,$B$3,Partidos!$E:$E,$A17)+SUMIFS(Partidos!$Q:$Q,Partidos!$C:$C,Partidos!$X$2,Partidos!$D:$D,$A17,Partidos!$E:$E,$B$3)+SUMIFS(Partidos!$R:$R,Partidos!$C:$C,Partidos!$X$2,Partidos!$F:$F,$B$3,Partidos!$G:$G,$A17)+SUMIFS(Partidos!$R:$R,Partidos!$C:$C,Partidos!$X$2,Partidos!$F:$F,$A17,Partidos!$G:$G,$B$3))</f>
        <v>2</v>
      </c>
      <c r="G17" s="10">
        <f>IF($A17="","",SUMIFS(Partidos!$R:$R,Partidos!$C:$C,Partidos!$X$2,Partidos!$D:$D,$B$3,Partidos!$E:$E,$A17)+SUMIFS(Partidos!$R:$R,Partidos!$C:$C,Partidos!$X$2,Partidos!$D:$D,$A17,Partidos!$E:$E,$B$3)+SUMIFS(Partidos!$Q:$Q,Partidos!$C:$C,Partidos!$X$2,Partidos!$F:$F,$B$3,Partidos!$G:$G,$A17)+SUMIFS(Partidos!$Q:$Q,Partidos!$C:$C,Partidos!$X$2,Partidos!$F:$F,$A17,Partidos!$G:$G,$B$3))</f>
        <v>12</v>
      </c>
      <c r="H17" s="10">
        <f>IF($A17="","",F17-G17)</f>
        <v>-10</v>
      </c>
      <c r="I17" s="10">
        <f>IF($A17="","",IF($A17="","",SUMIFS(Partidos!$N:$N,Partidos!$C:$C,Partidos!$X$2,Partidos!$D:$D,$B$3,Partidos!$E:$E,$A17)+SUMIFS(Partidos!$N:$N,Partidos!$C:$C,Partidos!$X$2,Partidos!$D:$D,$A17,Partidos!$E:$E,$B$3)+SUMIFS(Partidos!$O:$O,Partidos!$C:$C,Partidos!$X$2,Partidos!$F:$F,$B$3,Partidos!$G:$G,$A17)+SUMIFS(Partidos!$O:$O,Partidos!$C:$C,Partidos!$X$2,Partidos!$F:$F,$A17,Partidos!$G:$G,$B$3)))</f>
        <v>0</v>
      </c>
      <c r="J17" s="10">
        <f>IF($A17="","",IF($A17="","",SUMIFS(Partidos!$O:$O,Partidos!$C:$C,Partidos!$X$2,Partidos!$D:$D,$B$3,Partidos!$E:$E,$A17)+SUMIFS(Partidos!$O:$O,Partidos!$C:$C,Partidos!$X$2,Partidos!$D:$D,$A17,Partidos!$E:$E,$B$3)+SUMIFS(Partidos!$N:$N,Partidos!$C:$C,Partidos!$X$2,Partidos!$F:$F,$B$3,Partidos!$G:$G,$A17)+SUMIFS(Partidos!$N:$N,Partidos!$C:$C,Partidos!$X$2,Partidos!$F:$F,$A17,Partidos!$G:$G,$B$3)))</f>
        <v>2</v>
      </c>
      <c r="K17" s="10">
        <f>IF($A17="","",I17-J17)</f>
        <v>-2</v>
      </c>
      <c r="L17">
        <f>IF($A17="","",RANK($B17,$B$6:$B$65,0)+COUNTIFS($B$6:$B$65,$B17,$A$6:$A$65,"&gt;"&amp;$A17))</f>
        <v>8</v>
      </c>
      <c r="T17">
        <f t="shared" si="0"/>
        <v>9</v>
      </c>
    </row>
    <row r="18" spans="1:20" x14ac:dyDescent="0.3">
      <c r="A18" s="9" t="str">
        <f>IF(Jugadores!B9="","",IF(Jugadores!B9=$B$3,"",Jugadores!B9))</f>
        <v>Alberto Pulido</v>
      </c>
      <c r="B18" s="2">
        <f>IF($A18="","",COUNTIFS(Partidos!$C:$C,Partidos!$X$2,Partidos!$D:$D,$B$3,Partidos!$E:$E,$A18)+COUNTIFS(Partidos!$C:$C,Partidos!$X$2,Partidos!$D:$D,$A18,Partidos!$E:$E,$B$3)+COUNTIFS(Partidos!$C:$C,Partidos!$X$2,Partidos!$F:$F,$B$3,Partidos!$G:$G,$A18)+COUNTIFS(Partidos!$C:$C,Partidos!$X$2,Partidos!$F:$F,$A18,Partidos!$G:$G,$B$3))</f>
        <v>1</v>
      </c>
      <c r="C18" s="2">
        <f>IF($A18="","",COUNTIFS(Partidos!$C:$C,Partidos!$X$2,Partidos!$P:$P,"A",Partidos!$D:$D,$B$3,Partidos!$E:$E,$A18)+COUNTIFS(Partidos!$C:$C,Partidos!$X$2,Partidos!$P:$P,"A",Partidos!$D:$D,$A18,Partidos!$E:$E,$B$3)+COUNTIFS(Partidos!$C:$C,Partidos!$X$2,Partidos!$P:$P,"B",Partidos!$F:$F,$B$3,Partidos!$G:$G,$A18)+COUNTIFS(Partidos!$C:$C,Partidos!$X$2,Partidos!$P:$P,"B",Partidos!$F:$F,$A18,Partidos!$G:$G,$B$3))</f>
        <v>0</v>
      </c>
      <c r="D18" s="2">
        <f>IF($A18="","",B18-C18)</f>
        <v>1</v>
      </c>
      <c r="E18" s="46">
        <f>IF($A18="","",IF(B18=0,"",C18/B18))</f>
        <v>0</v>
      </c>
      <c r="F18" s="10">
        <f>IF($A18="","",SUMIFS(Partidos!$Q:$Q,Partidos!$C:$C,Partidos!$X$2,Partidos!$D:$D,$B$3,Partidos!$E:$E,$A18)+SUMIFS(Partidos!$Q:$Q,Partidos!$C:$C,Partidos!$X$2,Partidos!$D:$D,$A18,Partidos!$E:$E,$B$3)+SUMIFS(Partidos!$R:$R,Partidos!$C:$C,Partidos!$X$2,Partidos!$F:$F,$B$3,Partidos!$G:$G,$A18)+SUMIFS(Partidos!$R:$R,Partidos!$C:$C,Partidos!$X$2,Partidos!$F:$F,$A18,Partidos!$G:$G,$B$3))</f>
        <v>5</v>
      </c>
      <c r="G18" s="10">
        <f>IF($A18="","",SUMIFS(Partidos!$R:$R,Partidos!$C:$C,Partidos!$X$2,Partidos!$D:$D,$B$3,Partidos!$E:$E,$A18)+SUMIFS(Partidos!$R:$R,Partidos!$C:$C,Partidos!$X$2,Partidos!$D:$D,$A18,Partidos!$E:$E,$B$3)+SUMIFS(Partidos!$Q:$Q,Partidos!$C:$C,Partidos!$X$2,Partidos!$F:$F,$B$3,Partidos!$G:$G,$A18)+SUMIFS(Partidos!$Q:$Q,Partidos!$C:$C,Partidos!$X$2,Partidos!$F:$F,$A18,Partidos!$G:$G,$B$3))</f>
        <v>12</v>
      </c>
      <c r="H18" s="10">
        <f>IF($A18="","",F18-G18)</f>
        <v>-7</v>
      </c>
      <c r="I18" s="10">
        <f>IF($A18="","",IF($A18="","",SUMIFS(Partidos!$N:$N,Partidos!$C:$C,Partidos!$X$2,Partidos!$D:$D,$B$3,Partidos!$E:$E,$A18)+SUMIFS(Partidos!$N:$N,Partidos!$C:$C,Partidos!$X$2,Partidos!$D:$D,$A18,Partidos!$E:$E,$B$3)+SUMIFS(Partidos!$O:$O,Partidos!$C:$C,Partidos!$X$2,Partidos!$F:$F,$B$3,Partidos!$G:$G,$A18)+SUMIFS(Partidos!$O:$O,Partidos!$C:$C,Partidos!$X$2,Partidos!$F:$F,$A18,Partidos!$G:$G,$B$3)))</f>
        <v>0</v>
      </c>
      <c r="J18" s="10">
        <f>IF($A18="","",IF($A18="","",SUMIFS(Partidos!$O:$O,Partidos!$C:$C,Partidos!$X$2,Partidos!$D:$D,$B$3,Partidos!$E:$E,$A18)+SUMIFS(Partidos!$O:$O,Partidos!$C:$C,Partidos!$X$2,Partidos!$D:$D,$A18,Partidos!$E:$E,$B$3)+SUMIFS(Partidos!$N:$N,Partidos!$C:$C,Partidos!$X$2,Partidos!$F:$F,$B$3,Partidos!$G:$G,$A18)+SUMIFS(Partidos!$N:$N,Partidos!$C:$C,Partidos!$X$2,Partidos!$F:$F,$A18,Partidos!$G:$G,$B$3)))</f>
        <v>2</v>
      </c>
      <c r="K18" s="10">
        <f>IF($A18="","",I18-J18)</f>
        <v>-2</v>
      </c>
      <c r="L18">
        <f>IF($A18="","",RANK($B18,$B$6:$B$65,0)+COUNTIFS($B$6:$B$65,$B18,$A$6:$A$65,"&gt;"&amp;$A18))</f>
        <v>12</v>
      </c>
      <c r="T18">
        <f t="shared" si="0"/>
        <v>12</v>
      </c>
    </row>
    <row r="19" spans="1:20" x14ac:dyDescent="0.3">
      <c r="A19" s="9" t="str">
        <f>IF(Jugadores!B10="","",IF(Jugadores!B10=$B$3,"",Jugadores!B10))</f>
        <v>Wilfredo Santana</v>
      </c>
      <c r="B19" s="2">
        <f>IF($A19="","",COUNTIFS(Partidos!$C:$C,Partidos!$X$2,Partidos!$D:$D,$B$3,Partidos!$E:$E,$A19)+COUNTIFS(Partidos!$C:$C,Partidos!$X$2,Partidos!$D:$D,$A19,Partidos!$E:$E,$B$3)+COUNTIFS(Partidos!$C:$C,Partidos!$X$2,Partidos!$F:$F,$B$3,Partidos!$G:$G,$A19)+COUNTIFS(Partidos!$C:$C,Partidos!$X$2,Partidos!$F:$F,$A19,Partidos!$G:$G,$B$3))</f>
        <v>1</v>
      </c>
      <c r="C19" s="2">
        <f>IF($A19="","",COUNTIFS(Partidos!$C:$C,Partidos!$X$2,Partidos!$P:$P,"A",Partidos!$D:$D,$B$3,Partidos!$E:$E,$A19)+COUNTIFS(Partidos!$C:$C,Partidos!$X$2,Partidos!$P:$P,"A",Partidos!$D:$D,$A19,Partidos!$E:$E,$B$3)+COUNTIFS(Partidos!$C:$C,Partidos!$X$2,Partidos!$P:$P,"B",Partidos!$F:$F,$B$3,Partidos!$G:$G,$A19)+COUNTIFS(Partidos!$C:$C,Partidos!$X$2,Partidos!$P:$P,"B",Partidos!$F:$F,$A19,Partidos!$G:$G,$B$3))</f>
        <v>0</v>
      </c>
      <c r="D19" s="2">
        <f>IF($A19="","",B19-C19)</f>
        <v>1</v>
      </c>
      <c r="E19" s="46">
        <f>IF($A19="","",IF(B19=0,"",C19/B19))</f>
        <v>0</v>
      </c>
      <c r="F19" s="10">
        <f>IF($A19="","",SUMIFS(Partidos!$Q:$Q,Partidos!$C:$C,Partidos!$X$2,Partidos!$D:$D,$B$3,Partidos!$E:$E,$A19)+SUMIFS(Partidos!$Q:$Q,Partidos!$C:$C,Partidos!$X$2,Partidos!$D:$D,$A19,Partidos!$E:$E,$B$3)+SUMIFS(Partidos!$R:$R,Partidos!$C:$C,Partidos!$X$2,Partidos!$F:$F,$B$3,Partidos!$G:$G,$A19)+SUMIFS(Partidos!$R:$R,Partidos!$C:$C,Partidos!$X$2,Partidos!$F:$F,$A19,Partidos!$G:$G,$B$3))</f>
        <v>7</v>
      </c>
      <c r="G19" s="10">
        <f>IF($A19="","",SUMIFS(Partidos!$R:$R,Partidos!$C:$C,Partidos!$X$2,Partidos!$D:$D,$B$3,Partidos!$E:$E,$A19)+SUMIFS(Partidos!$R:$R,Partidos!$C:$C,Partidos!$X$2,Partidos!$D:$D,$A19,Partidos!$E:$E,$B$3)+SUMIFS(Partidos!$Q:$Q,Partidos!$C:$C,Partidos!$X$2,Partidos!$F:$F,$B$3,Partidos!$G:$G,$A19)+SUMIFS(Partidos!$Q:$Q,Partidos!$C:$C,Partidos!$X$2,Partidos!$F:$F,$A19,Partidos!$G:$G,$B$3))</f>
        <v>13</v>
      </c>
      <c r="H19" s="10">
        <f>IF($A19="","",F19-G19)</f>
        <v>-6</v>
      </c>
      <c r="I19" s="10">
        <f>IF($A19="","",IF($A19="","",SUMIFS(Partidos!$N:$N,Partidos!$C:$C,Partidos!$X$2,Partidos!$D:$D,$B$3,Partidos!$E:$E,$A19)+SUMIFS(Partidos!$N:$N,Partidos!$C:$C,Partidos!$X$2,Partidos!$D:$D,$A19,Partidos!$E:$E,$B$3)+SUMIFS(Partidos!$O:$O,Partidos!$C:$C,Partidos!$X$2,Partidos!$F:$F,$B$3,Partidos!$G:$G,$A19)+SUMIFS(Partidos!$O:$O,Partidos!$C:$C,Partidos!$X$2,Partidos!$F:$F,$A19,Partidos!$G:$G,$B$3)))</f>
        <v>0</v>
      </c>
      <c r="J19" s="10">
        <f>IF($A19="","",IF($A19="","",SUMIFS(Partidos!$O:$O,Partidos!$C:$C,Partidos!$X$2,Partidos!$D:$D,$B$3,Partidos!$E:$E,$A19)+SUMIFS(Partidos!$O:$O,Partidos!$C:$C,Partidos!$X$2,Partidos!$D:$D,$A19,Partidos!$E:$E,$B$3)+SUMIFS(Partidos!$N:$N,Partidos!$C:$C,Partidos!$X$2,Partidos!$F:$F,$B$3,Partidos!$G:$G,$A19)+SUMIFS(Partidos!$N:$N,Partidos!$C:$C,Partidos!$X$2,Partidos!$F:$F,$A19,Partidos!$G:$G,$B$3)))</f>
        <v>2</v>
      </c>
      <c r="K19" s="10">
        <f>IF($A19="","",I19-J19)</f>
        <v>-2</v>
      </c>
      <c r="L19">
        <f>IF($A19="","",RANK($B19,$B$6:$B$65,0)+COUNTIFS($B$6:$B$65,$B19,$A$6:$A$65,"&gt;"&amp;$A19))</f>
        <v>7</v>
      </c>
      <c r="T19">
        <f t="shared" si="0"/>
        <v>8</v>
      </c>
    </row>
    <row r="20" spans="1:20" x14ac:dyDescent="0.3">
      <c r="A20" s="9" t="str">
        <f>IF(Jugadores!B14="","",IF(Jugadores!B14=$B$3,"",Jugadores!B14))</f>
        <v>Eva Pulido</v>
      </c>
      <c r="B20" s="2">
        <f>IF($A20="","",COUNTIFS(Partidos!$C:$C,Partidos!$X$2,Partidos!$D:$D,$B$3,Partidos!$E:$E,$A20)+COUNTIFS(Partidos!$C:$C,Partidos!$X$2,Partidos!$D:$D,$A20,Partidos!$E:$E,$B$3)+COUNTIFS(Partidos!$C:$C,Partidos!$X$2,Partidos!$F:$F,$B$3,Partidos!$G:$G,$A20)+COUNTIFS(Partidos!$C:$C,Partidos!$X$2,Partidos!$F:$F,$A20,Partidos!$G:$G,$B$3))</f>
        <v>1</v>
      </c>
      <c r="C20" s="2">
        <f>IF($A20="","",COUNTIFS(Partidos!$C:$C,Partidos!$X$2,Partidos!$P:$P,"A",Partidos!$D:$D,$B$3,Partidos!$E:$E,$A20)+COUNTIFS(Partidos!$C:$C,Partidos!$X$2,Partidos!$P:$P,"A",Partidos!$D:$D,$A20,Partidos!$E:$E,$B$3)+COUNTIFS(Partidos!$C:$C,Partidos!$X$2,Partidos!$P:$P,"B",Partidos!$F:$F,$B$3,Partidos!$G:$G,$A20)+COUNTIFS(Partidos!$C:$C,Partidos!$X$2,Partidos!$P:$P,"B",Partidos!$F:$F,$A20,Partidos!$G:$G,$B$3))</f>
        <v>0</v>
      </c>
      <c r="D20" s="2">
        <f>IF($A20="","",B20-C20)</f>
        <v>1</v>
      </c>
      <c r="E20" s="46">
        <f>IF($A20="","",IF(B20=0,"",C20/B20))</f>
        <v>0</v>
      </c>
      <c r="F20" s="10">
        <f>IF($A20="","",SUMIFS(Partidos!$Q:$Q,Partidos!$C:$C,Partidos!$X$2,Partidos!$D:$D,$B$3,Partidos!$E:$E,$A20)+SUMIFS(Partidos!$Q:$Q,Partidos!$C:$C,Partidos!$X$2,Partidos!$D:$D,$A20,Partidos!$E:$E,$B$3)+SUMIFS(Partidos!$R:$R,Partidos!$C:$C,Partidos!$X$2,Partidos!$F:$F,$B$3,Partidos!$G:$G,$A20)+SUMIFS(Partidos!$R:$R,Partidos!$C:$C,Partidos!$X$2,Partidos!$F:$F,$A20,Partidos!$G:$G,$B$3))</f>
        <v>1</v>
      </c>
      <c r="G20" s="10">
        <f>IF($A20="","",SUMIFS(Partidos!$R:$R,Partidos!$C:$C,Partidos!$X$2,Partidos!$D:$D,$B$3,Partidos!$E:$E,$A20)+SUMIFS(Partidos!$R:$R,Partidos!$C:$C,Partidos!$X$2,Partidos!$D:$D,$A20,Partidos!$E:$E,$B$3)+SUMIFS(Partidos!$Q:$Q,Partidos!$C:$C,Partidos!$X$2,Partidos!$F:$F,$B$3,Partidos!$G:$G,$A20)+SUMIFS(Partidos!$Q:$Q,Partidos!$C:$C,Partidos!$X$2,Partidos!$F:$F,$A20,Partidos!$G:$G,$B$3))</f>
        <v>12</v>
      </c>
      <c r="H20" s="10">
        <f>IF($A20="","",F20-G20)</f>
        <v>-11</v>
      </c>
      <c r="I20" s="10">
        <f>IF($A20="","",IF($A20="","",SUMIFS(Partidos!$N:$N,Partidos!$C:$C,Partidos!$X$2,Partidos!$D:$D,$B$3,Partidos!$E:$E,$A20)+SUMIFS(Partidos!$N:$N,Partidos!$C:$C,Partidos!$X$2,Partidos!$D:$D,$A20,Partidos!$E:$E,$B$3)+SUMIFS(Partidos!$O:$O,Partidos!$C:$C,Partidos!$X$2,Partidos!$F:$F,$B$3,Partidos!$G:$G,$A20)+SUMIFS(Partidos!$O:$O,Partidos!$C:$C,Partidos!$X$2,Partidos!$F:$F,$A20,Partidos!$G:$G,$B$3)))</f>
        <v>0</v>
      </c>
      <c r="J20" s="10">
        <f>IF($A20="","",IF($A20="","",SUMIFS(Partidos!$O:$O,Partidos!$C:$C,Partidos!$X$2,Partidos!$D:$D,$B$3,Partidos!$E:$E,$A20)+SUMIFS(Partidos!$O:$O,Partidos!$C:$C,Partidos!$X$2,Partidos!$D:$D,$A20,Partidos!$E:$E,$B$3)+SUMIFS(Partidos!$N:$N,Partidos!$C:$C,Partidos!$X$2,Partidos!$F:$F,$B$3,Partidos!$G:$G,$A20)+SUMIFS(Partidos!$N:$N,Partidos!$C:$C,Partidos!$X$2,Partidos!$F:$F,$A20,Partidos!$G:$G,$B$3)))</f>
        <v>2</v>
      </c>
      <c r="K20" s="10">
        <f>IF($A20="","",I20-J20)</f>
        <v>-2</v>
      </c>
      <c r="L20">
        <f>IF($A20="","",RANK($B20,$B$6:$B$65,0)+COUNTIFS($B$6:$B$65,$B20,$A$6:$A$65,"&gt;"&amp;$A20))</f>
        <v>11</v>
      </c>
      <c r="T20">
        <f t="shared" si="0"/>
        <v>11</v>
      </c>
    </row>
    <row r="21" spans="1:20" x14ac:dyDescent="0.3">
      <c r="A21" s="9" t="str">
        <f>IF(Jugadores!B16="","",IF(Jugadores!B16=$B$3,"",Jugadores!B16))</f>
        <v>Alberto Nunes</v>
      </c>
      <c r="B21" s="2">
        <f>IF($A21="","",COUNTIFS(Partidos!$C:$C,Partidos!$X$2,Partidos!$D:$D,$B$3,Partidos!$E:$E,$A21)+COUNTIFS(Partidos!$C:$C,Partidos!$X$2,Partidos!$D:$D,$A21,Partidos!$E:$E,$B$3)+COUNTIFS(Partidos!$C:$C,Partidos!$X$2,Partidos!$F:$F,$B$3,Partidos!$G:$G,$A21)+COUNTIFS(Partidos!$C:$C,Partidos!$X$2,Partidos!$F:$F,$A21,Partidos!$G:$G,$B$3))</f>
        <v>1</v>
      </c>
      <c r="C21" s="2">
        <f>IF($A21="","",COUNTIFS(Partidos!$C:$C,Partidos!$X$2,Partidos!$P:$P,"A",Partidos!$D:$D,$B$3,Partidos!$E:$E,$A21)+COUNTIFS(Partidos!$C:$C,Partidos!$X$2,Partidos!$P:$P,"A",Partidos!$D:$D,$A21,Partidos!$E:$E,$B$3)+COUNTIFS(Partidos!$C:$C,Partidos!$X$2,Partidos!$P:$P,"B",Partidos!$F:$F,$B$3,Partidos!$G:$G,$A21)+COUNTIFS(Partidos!$C:$C,Partidos!$X$2,Partidos!$P:$P,"B",Partidos!$F:$F,$A21,Partidos!$G:$G,$B$3))</f>
        <v>0</v>
      </c>
      <c r="D21" s="2">
        <f>IF($A21="","",B21-C21)</f>
        <v>1</v>
      </c>
      <c r="E21" s="46">
        <f>IF($A21="","",IF(B21=0,"",C21/B21))</f>
        <v>0</v>
      </c>
      <c r="F21" s="10">
        <f>IF($A21="","",SUMIFS(Partidos!$Q:$Q,Partidos!$C:$C,Partidos!$X$2,Partidos!$D:$D,$B$3,Partidos!$E:$E,$A21)+SUMIFS(Partidos!$Q:$Q,Partidos!$C:$C,Partidos!$X$2,Partidos!$D:$D,$A21,Partidos!$E:$E,$B$3)+SUMIFS(Partidos!$R:$R,Partidos!$C:$C,Partidos!$X$2,Partidos!$F:$F,$B$3,Partidos!$G:$G,$A21)+SUMIFS(Partidos!$R:$R,Partidos!$C:$C,Partidos!$X$2,Partidos!$F:$F,$A21,Partidos!$G:$G,$B$3))</f>
        <v>4</v>
      </c>
      <c r="G21" s="10">
        <f>IF($A21="","",SUMIFS(Partidos!$R:$R,Partidos!$C:$C,Partidos!$X$2,Partidos!$D:$D,$B$3,Partidos!$E:$E,$A21)+SUMIFS(Partidos!$R:$R,Partidos!$C:$C,Partidos!$X$2,Partidos!$D:$D,$A21,Partidos!$E:$E,$B$3)+SUMIFS(Partidos!$Q:$Q,Partidos!$C:$C,Partidos!$X$2,Partidos!$F:$F,$B$3,Partidos!$G:$G,$A21)+SUMIFS(Partidos!$Q:$Q,Partidos!$C:$C,Partidos!$X$2,Partidos!$F:$F,$A21,Partidos!$G:$G,$B$3))</f>
        <v>12</v>
      </c>
      <c r="H21" s="10">
        <f>IF($A21="","",F21-G21)</f>
        <v>-8</v>
      </c>
      <c r="I21" s="10">
        <f>IF($A21="","",IF($A21="","",SUMIFS(Partidos!$N:$N,Partidos!$C:$C,Partidos!$X$2,Partidos!$D:$D,$B$3,Partidos!$E:$E,$A21)+SUMIFS(Partidos!$N:$N,Partidos!$C:$C,Partidos!$X$2,Partidos!$D:$D,$A21,Partidos!$E:$E,$B$3)+SUMIFS(Partidos!$O:$O,Partidos!$C:$C,Partidos!$X$2,Partidos!$F:$F,$B$3,Partidos!$G:$G,$A21)+SUMIFS(Partidos!$O:$O,Partidos!$C:$C,Partidos!$X$2,Partidos!$F:$F,$A21,Partidos!$G:$G,$B$3)))</f>
        <v>0</v>
      </c>
      <c r="J21" s="10">
        <f>IF($A21="","",IF($A21="","",SUMIFS(Partidos!$O:$O,Partidos!$C:$C,Partidos!$X$2,Partidos!$D:$D,$B$3,Partidos!$E:$E,$A21)+SUMIFS(Partidos!$O:$O,Partidos!$C:$C,Partidos!$X$2,Partidos!$D:$D,$A21,Partidos!$E:$E,$B$3)+SUMIFS(Partidos!$N:$N,Partidos!$C:$C,Partidos!$X$2,Partidos!$F:$F,$B$3,Partidos!$G:$G,$A21)+SUMIFS(Partidos!$N:$N,Partidos!$C:$C,Partidos!$X$2,Partidos!$F:$F,$A21,Partidos!$G:$G,$B$3)))</f>
        <v>2</v>
      </c>
      <c r="K21" s="10">
        <f>IF($A21="","",I21-J21)</f>
        <v>-2</v>
      </c>
      <c r="L21">
        <f>IF($A21="","",RANK($B21,$B$6:$B$65,0)+COUNTIFS($B$6:$B$65,$B21,$A$6:$A$65,"&gt;"&amp;$A21))</f>
        <v>13</v>
      </c>
      <c r="T21">
        <f t="shared" si="0"/>
        <v>13</v>
      </c>
    </row>
    <row r="22" spans="1:20" x14ac:dyDescent="0.3">
      <c r="A22" s="9" t="str">
        <f>IF(Jugadores!B18="","",IF(Jugadores!B18=$B$3,"",Jugadores!B18))</f>
        <v/>
      </c>
      <c r="B22" s="2" t="str">
        <f>IF($A22="","",COUNTIFS(Partidos!$C:$C,Partidos!$X$2,Partidos!$D:$D,$B$3,Partidos!$E:$E,$A22)+COUNTIFS(Partidos!$C:$C,Partidos!$X$2,Partidos!$D:$D,$A22,Partidos!$E:$E,$B$3)+COUNTIFS(Partidos!$C:$C,Partidos!$X$2,Partidos!$F:$F,$B$3,Partidos!$G:$G,$A22)+COUNTIFS(Partidos!$C:$C,Partidos!$X$2,Partidos!$F:$F,$A22,Partidos!$G:$G,$B$3))</f>
        <v/>
      </c>
      <c r="C22" s="2" t="str">
        <f>IF($A22="","",COUNTIFS(Partidos!$C:$C,Partidos!$X$2,Partidos!$P:$P,"A",Partidos!$D:$D,$B$3,Partidos!$E:$E,$A22)+COUNTIFS(Partidos!$C:$C,Partidos!$X$2,Partidos!$P:$P,"A",Partidos!$D:$D,$A22,Partidos!$E:$E,$B$3)+COUNTIFS(Partidos!$C:$C,Partidos!$X$2,Partidos!$P:$P,"B",Partidos!$F:$F,$B$3,Partidos!$G:$G,$A22)+COUNTIFS(Partidos!$C:$C,Partidos!$X$2,Partidos!$P:$P,"B",Partidos!$F:$F,$A22,Partidos!$G:$G,$B$3))</f>
        <v/>
      </c>
      <c r="D22" s="2" t="str">
        <f t="shared" ref="D6:D37" si="1">IF($A22="","",B22-C22)</f>
        <v/>
      </c>
      <c r="E22" s="46" t="str">
        <f t="shared" ref="E7:E65" si="2">IF($A22="","",IF(B22=0,"",C22/B22))</f>
        <v/>
      </c>
      <c r="F22" s="10" t="str">
        <f>IF($A22="","",SUMIFS(Partidos!$Q:$Q,Partidos!$C:$C,Partidos!$X$2,Partidos!$D:$D,$B$3,Partidos!$E:$E,$A22)+SUMIFS(Partidos!$Q:$Q,Partidos!$C:$C,Partidos!$X$2,Partidos!$D:$D,$A22,Partidos!$E:$E,$B$3)+SUMIFS(Partidos!$R:$R,Partidos!$C:$C,Partidos!$X$2,Partidos!$F:$F,$B$3,Partidos!$G:$G,$A22)+SUMIFS(Partidos!$R:$R,Partidos!$C:$C,Partidos!$X$2,Partidos!$F:$F,$A22,Partidos!$G:$G,$B$3))</f>
        <v/>
      </c>
      <c r="G22" s="10" t="str">
        <f>IF($A22="","",SUMIFS(Partidos!$R:$R,Partidos!$C:$C,Partidos!$X$2,Partidos!$D:$D,$B$3,Partidos!$E:$E,$A22)+SUMIFS(Partidos!$R:$R,Partidos!$C:$C,Partidos!$X$2,Partidos!$D:$D,$A22,Partidos!$E:$E,$B$3)+SUMIFS(Partidos!$Q:$Q,Partidos!$C:$C,Partidos!$X$2,Partidos!$F:$F,$B$3,Partidos!$G:$G,$A22)+SUMIFS(Partidos!$Q:$Q,Partidos!$C:$C,Partidos!$X$2,Partidos!$F:$F,$A22,Partidos!$G:$G,$B$3))</f>
        <v/>
      </c>
      <c r="H22" s="10" t="str">
        <f t="shared" ref="H6:H37" si="3">IF($A22="","",F22-G22)</f>
        <v/>
      </c>
      <c r="I22" s="10" t="str">
        <f>IF($A22="","",IF($A22="","",SUMIFS(Partidos!$N:$N,Partidos!$C:$C,Partidos!$X$2,Partidos!$D:$D,$B$3,Partidos!$E:$E,$A22)+SUMIFS(Partidos!$N:$N,Partidos!$C:$C,Partidos!$X$2,Partidos!$D:$D,$A22,Partidos!$E:$E,$B$3)+SUMIFS(Partidos!$O:$O,Partidos!$C:$C,Partidos!$X$2,Partidos!$F:$F,$B$3,Partidos!$G:$G,$A22)+SUMIFS(Partidos!$O:$O,Partidos!$C:$C,Partidos!$X$2,Partidos!$F:$F,$A22,Partidos!$G:$G,$B$3)))</f>
        <v/>
      </c>
      <c r="J22" s="10" t="str">
        <f>IF($A22="","",IF($A22="","",SUMIFS(Partidos!$O:$O,Partidos!$C:$C,Partidos!$X$2,Partidos!$D:$D,$B$3,Partidos!$E:$E,$A22)+SUMIFS(Partidos!$O:$O,Partidos!$C:$C,Partidos!$X$2,Partidos!$D:$D,$A22,Partidos!$E:$E,$B$3)+SUMIFS(Partidos!$N:$N,Partidos!$C:$C,Partidos!$X$2,Partidos!$F:$F,$B$3,Partidos!$G:$G,$A22)+SUMIFS(Partidos!$N:$N,Partidos!$C:$C,Partidos!$X$2,Partidos!$F:$F,$A22,Partidos!$G:$G,$B$3)))</f>
        <v/>
      </c>
      <c r="K22" s="10" t="str">
        <f t="shared" ref="K6:K37" si="4">IF($A22="","",I22-J22)</f>
        <v/>
      </c>
      <c r="L22" t="str">
        <f t="shared" ref="L6:L37" si="5">IF($A22="","",RANK($B22,$B$6:$B$65,0)+COUNTIFS($B$6:$B$65,$B22,$A$6:$A$65,"&gt;"&amp;$A22))</f>
        <v/>
      </c>
      <c r="T22" t="str">
        <f t="shared" si="0"/>
        <v/>
      </c>
    </row>
    <row r="23" spans="1:20" x14ac:dyDescent="0.3">
      <c r="A23" s="9" t="str">
        <f>IF(Jugadores!B19="","",IF(Jugadores!B19=$B$3,"",Jugadores!B19))</f>
        <v/>
      </c>
      <c r="B23" s="2" t="str">
        <f>IF($A23="","",COUNTIFS(Partidos!$C:$C,Partidos!$X$2,Partidos!$D:$D,$B$3,Partidos!$E:$E,$A23)+COUNTIFS(Partidos!$C:$C,Partidos!$X$2,Partidos!$D:$D,$A23,Partidos!$E:$E,$B$3)+COUNTIFS(Partidos!$C:$C,Partidos!$X$2,Partidos!$F:$F,$B$3,Partidos!$G:$G,$A23)+COUNTIFS(Partidos!$C:$C,Partidos!$X$2,Partidos!$F:$F,$A23,Partidos!$G:$G,$B$3))</f>
        <v/>
      </c>
      <c r="C23" s="2" t="str">
        <f>IF($A23="","",COUNTIFS(Partidos!$C:$C,Partidos!$X$2,Partidos!$P:$P,"A",Partidos!$D:$D,$B$3,Partidos!$E:$E,$A23)+COUNTIFS(Partidos!$C:$C,Partidos!$X$2,Partidos!$P:$P,"A",Partidos!$D:$D,$A23,Partidos!$E:$E,$B$3)+COUNTIFS(Partidos!$C:$C,Partidos!$X$2,Partidos!$P:$P,"B",Partidos!$F:$F,$B$3,Partidos!$G:$G,$A23)+COUNTIFS(Partidos!$C:$C,Partidos!$X$2,Partidos!$P:$P,"B",Partidos!$F:$F,$A23,Partidos!$G:$G,$B$3))</f>
        <v/>
      </c>
      <c r="D23" s="2" t="str">
        <f t="shared" si="1"/>
        <v/>
      </c>
      <c r="E23" s="46" t="str">
        <f t="shared" si="2"/>
        <v/>
      </c>
      <c r="F23" s="10" t="str">
        <f>IF($A23="","",SUMIFS(Partidos!$Q:$Q,Partidos!$C:$C,Partidos!$X$2,Partidos!$D:$D,$B$3,Partidos!$E:$E,$A23)+SUMIFS(Partidos!$Q:$Q,Partidos!$C:$C,Partidos!$X$2,Partidos!$D:$D,$A23,Partidos!$E:$E,$B$3)+SUMIFS(Partidos!$R:$R,Partidos!$C:$C,Partidos!$X$2,Partidos!$F:$F,$B$3,Partidos!$G:$G,$A23)+SUMIFS(Partidos!$R:$R,Partidos!$C:$C,Partidos!$X$2,Partidos!$F:$F,$A23,Partidos!$G:$G,$B$3))</f>
        <v/>
      </c>
      <c r="G23" s="10" t="str">
        <f>IF($A23="","",SUMIFS(Partidos!$R:$R,Partidos!$C:$C,Partidos!$X$2,Partidos!$D:$D,$B$3,Partidos!$E:$E,$A23)+SUMIFS(Partidos!$R:$R,Partidos!$C:$C,Partidos!$X$2,Partidos!$D:$D,$A23,Partidos!$E:$E,$B$3)+SUMIFS(Partidos!$Q:$Q,Partidos!$C:$C,Partidos!$X$2,Partidos!$F:$F,$B$3,Partidos!$G:$G,$A23)+SUMIFS(Partidos!$Q:$Q,Partidos!$C:$C,Partidos!$X$2,Partidos!$F:$F,$A23,Partidos!$G:$G,$B$3))</f>
        <v/>
      </c>
      <c r="H23" s="10" t="str">
        <f t="shared" si="3"/>
        <v/>
      </c>
      <c r="I23" s="10" t="str">
        <f>IF($A23="","",IF($A23="","",SUMIFS(Partidos!$N:$N,Partidos!$C:$C,Partidos!$X$2,Partidos!$D:$D,$B$3,Partidos!$E:$E,$A23)+SUMIFS(Partidos!$N:$N,Partidos!$C:$C,Partidos!$X$2,Partidos!$D:$D,$A23,Partidos!$E:$E,$B$3)+SUMIFS(Partidos!$O:$O,Partidos!$C:$C,Partidos!$X$2,Partidos!$F:$F,$B$3,Partidos!$G:$G,$A23)+SUMIFS(Partidos!$O:$O,Partidos!$C:$C,Partidos!$X$2,Partidos!$F:$F,$A23,Partidos!$G:$G,$B$3)))</f>
        <v/>
      </c>
      <c r="J23" s="10" t="str">
        <f>IF($A23="","",IF($A23="","",SUMIFS(Partidos!$O:$O,Partidos!$C:$C,Partidos!$X$2,Partidos!$D:$D,$B$3,Partidos!$E:$E,$A23)+SUMIFS(Partidos!$O:$O,Partidos!$C:$C,Partidos!$X$2,Partidos!$D:$D,$A23,Partidos!$E:$E,$B$3)+SUMIFS(Partidos!$N:$N,Partidos!$C:$C,Partidos!$X$2,Partidos!$F:$F,$B$3,Partidos!$G:$G,$A23)+SUMIFS(Partidos!$N:$N,Partidos!$C:$C,Partidos!$X$2,Partidos!$F:$F,$A23,Partidos!$G:$G,$B$3)))</f>
        <v/>
      </c>
      <c r="K23" s="10" t="str">
        <f t="shared" si="4"/>
        <v/>
      </c>
      <c r="L23" t="str">
        <f t="shared" si="5"/>
        <v/>
      </c>
      <c r="T23" t="str">
        <f t="shared" si="0"/>
        <v/>
      </c>
    </row>
    <row r="24" spans="1:20" x14ac:dyDescent="0.3">
      <c r="A24" s="9" t="str">
        <f>IF(Jugadores!B20="","",IF(Jugadores!B20=$B$3,"",Jugadores!B20))</f>
        <v/>
      </c>
      <c r="B24" s="2" t="str">
        <f>IF($A24="","",COUNTIFS(Partidos!$C:$C,Partidos!$X$2,Partidos!$D:$D,$B$3,Partidos!$E:$E,$A24)+COUNTIFS(Partidos!$C:$C,Partidos!$X$2,Partidos!$D:$D,$A24,Partidos!$E:$E,$B$3)+COUNTIFS(Partidos!$C:$C,Partidos!$X$2,Partidos!$F:$F,$B$3,Partidos!$G:$G,$A24)+COUNTIFS(Partidos!$C:$C,Partidos!$X$2,Partidos!$F:$F,$A24,Partidos!$G:$G,$B$3))</f>
        <v/>
      </c>
      <c r="C24" s="2" t="str">
        <f>IF($A24="","",COUNTIFS(Partidos!$C:$C,Partidos!$X$2,Partidos!$P:$P,"A",Partidos!$D:$D,$B$3,Partidos!$E:$E,$A24)+COUNTIFS(Partidos!$C:$C,Partidos!$X$2,Partidos!$P:$P,"A",Partidos!$D:$D,$A24,Partidos!$E:$E,$B$3)+COUNTIFS(Partidos!$C:$C,Partidos!$X$2,Partidos!$P:$P,"B",Partidos!$F:$F,$B$3,Partidos!$G:$G,$A24)+COUNTIFS(Partidos!$C:$C,Partidos!$X$2,Partidos!$P:$P,"B",Partidos!$F:$F,$A24,Partidos!$G:$G,$B$3))</f>
        <v/>
      </c>
      <c r="D24" s="2" t="str">
        <f t="shared" si="1"/>
        <v/>
      </c>
      <c r="E24" s="45" t="str">
        <f t="shared" si="2"/>
        <v/>
      </c>
      <c r="F24" s="10" t="str">
        <f>IF($A24="","",SUMIFS(Partidos!$Q:$Q,Partidos!$C:$C,Partidos!$X$2,Partidos!$D:$D,$B$3,Partidos!$E:$E,$A24)+SUMIFS(Partidos!$Q:$Q,Partidos!$C:$C,Partidos!$X$2,Partidos!$D:$D,$A24,Partidos!$E:$E,$B$3)+SUMIFS(Partidos!$R:$R,Partidos!$C:$C,Partidos!$X$2,Partidos!$F:$F,$B$3,Partidos!$G:$G,$A24)+SUMIFS(Partidos!$R:$R,Partidos!$C:$C,Partidos!$X$2,Partidos!$F:$F,$A24,Partidos!$G:$G,$B$3))</f>
        <v/>
      </c>
      <c r="G24" s="10" t="str">
        <f>IF($A24="","",SUMIFS(Partidos!$R:$R,Partidos!$C:$C,Partidos!$X$2,Partidos!$D:$D,$B$3,Partidos!$E:$E,$A24)+SUMIFS(Partidos!$R:$R,Partidos!$C:$C,Partidos!$X$2,Partidos!$D:$D,$A24,Partidos!$E:$E,$B$3)+SUMIFS(Partidos!$Q:$Q,Partidos!$C:$C,Partidos!$X$2,Partidos!$F:$F,$B$3,Partidos!$G:$G,$A24)+SUMIFS(Partidos!$Q:$Q,Partidos!$C:$C,Partidos!$X$2,Partidos!$F:$F,$A24,Partidos!$G:$G,$B$3))</f>
        <v/>
      </c>
      <c r="H24" s="10" t="str">
        <f t="shared" si="3"/>
        <v/>
      </c>
      <c r="I24" s="10" t="str">
        <f>IF($A24="","",IF($A24="","",SUMIFS(Partidos!$N:$N,Partidos!$C:$C,Partidos!$X$2,Partidos!$D:$D,$B$3,Partidos!$E:$E,$A24)+SUMIFS(Partidos!$N:$N,Partidos!$C:$C,Partidos!$X$2,Partidos!$D:$D,$A24,Partidos!$E:$E,$B$3)+SUMIFS(Partidos!$O:$O,Partidos!$C:$C,Partidos!$X$2,Partidos!$F:$F,$B$3,Partidos!$G:$G,$A24)+SUMIFS(Partidos!$O:$O,Partidos!$C:$C,Partidos!$X$2,Partidos!$F:$F,$A24,Partidos!$G:$G,$B$3)))</f>
        <v/>
      </c>
      <c r="J24" s="10" t="str">
        <f>IF($A24="","",IF($A24="","",SUMIFS(Partidos!$O:$O,Partidos!$C:$C,Partidos!$X$2,Partidos!$D:$D,$B$3,Partidos!$E:$E,$A24)+SUMIFS(Partidos!$O:$O,Partidos!$C:$C,Partidos!$X$2,Partidos!$D:$D,$A24,Partidos!$E:$E,$B$3)+SUMIFS(Partidos!$N:$N,Partidos!$C:$C,Partidos!$X$2,Partidos!$F:$F,$B$3,Partidos!$G:$G,$A24)+SUMIFS(Partidos!$N:$N,Partidos!$C:$C,Partidos!$X$2,Partidos!$F:$F,$A24,Partidos!$G:$G,$B$3)))</f>
        <v/>
      </c>
      <c r="K24" s="10" t="str">
        <f t="shared" si="4"/>
        <v/>
      </c>
      <c r="L24" t="str">
        <f t="shared" si="5"/>
        <v/>
      </c>
      <c r="T24" t="str">
        <f t="shared" si="0"/>
        <v/>
      </c>
    </row>
    <row r="25" spans="1:20" x14ac:dyDescent="0.3">
      <c r="A25" s="9" t="str">
        <f>IF(Jugadores!B21="","",IF(Jugadores!B21=$B$3,"",Jugadores!B21))</f>
        <v/>
      </c>
      <c r="B25" s="2" t="str">
        <f>IF($A25="","",COUNTIFS(Partidos!$C:$C,Partidos!$X$2,Partidos!$D:$D,$B$3,Partidos!$E:$E,$A25)+COUNTIFS(Partidos!$C:$C,Partidos!$X$2,Partidos!$D:$D,$A25,Partidos!$E:$E,$B$3)+COUNTIFS(Partidos!$C:$C,Partidos!$X$2,Partidos!$F:$F,$B$3,Partidos!$G:$G,$A25)+COUNTIFS(Partidos!$C:$C,Partidos!$X$2,Partidos!$F:$F,$A25,Partidos!$G:$G,$B$3))</f>
        <v/>
      </c>
      <c r="C25" s="2" t="str">
        <f>IF($A25="","",COUNTIFS(Partidos!$C:$C,Partidos!$X$2,Partidos!$P:$P,"A",Partidos!$D:$D,$B$3,Partidos!$E:$E,$A25)+COUNTIFS(Partidos!$C:$C,Partidos!$X$2,Partidos!$P:$P,"A",Partidos!$D:$D,$A25,Partidos!$E:$E,$B$3)+COUNTIFS(Partidos!$C:$C,Partidos!$X$2,Partidos!$P:$P,"B",Partidos!$F:$F,$B$3,Partidos!$G:$G,$A25)+COUNTIFS(Partidos!$C:$C,Partidos!$X$2,Partidos!$P:$P,"B",Partidos!$F:$F,$A25,Partidos!$G:$G,$B$3))</f>
        <v/>
      </c>
      <c r="D25" s="2" t="str">
        <f t="shared" si="1"/>
        <v/>
      </c>
      <c r="E25" s="45" t="str">
        <f t="shared" si="2"/>
        <v/>
      </c>
      <c r="F25" s="10" t="str">
        <f>IF($A25="","",SUMIFS(Partidos!$Q:$Q,Partidos!$C:$C,Partidos!$X$2,Partidos!$D:$D,$B$3,Partidos!$E:$E,$A25)+SUMIFS(Partidos!$Q:$Q,Partidos!$C:$C,Partidos!$X$2,Partidos!$D:$D,$A25,Partidos!$E:$E,$B$3)+SUMIFS(Partidos!$R:$R,Partidos!$C:$C,Partidos!$X$2,Partidos!$F:$F,$B$3,Partidos!$G:$G,$A25)+SUMIFS(Partidos!$R:$R,Partidos!$C:$C,Partidos!$X$2,Partidos!$F:$F,$A25,Partidos!$G:$G,$B$3))</f>
        <v/>
      </c>
      <c r="G25" s="10" t="str">
        <f>IF($A25="","",SUMIFS(Partidos!$R:$R,Partidos!$C:$C,Partidos!$X$2,Partidos!$D:$D,$B$3,Partidos!$E:$E,$A25)+SUMIFS(Partidos!$R:$R,Partidos!$C:$C,Partidos!$X$2,Partidos!$D:$D,$A25,Partidos!$E:$E,$B$3)+SUMIFS(Partidos!$Q:$Q,Partidos!$C:$C,Partidos!$X$2,Partidos!$F:$F,$B$3,Partidos!$G:$G,$A25)+SUMIFS(Partidos!$Q:$Q,Partidos!$C:$C,Partidos!$X$2,Partidos!$F:$F,$A25,Partidos!$G:$G,$B$3))</f>
        <v/>
      </c>
      <c r="H25" s="10" t="str">
        <f t="shared" si="3"/>
        <v/>
      </c>
      <c r="I25" s="10" t="str">
        <f>IF($A25="","",IF($A25="","",SUMIFS(Partidos!$N:$N,Partidos!$C:$C,Partidos!$X$2,Partidos!$D:$D,$B$3,Partidos!$E:$E,$A25)+SUMIFS(Partidos!$N:$N,Partidos!$C:$C,Partidos!$X$2,Partidos!$D:$D,$A25,Partidos!$E:$E,$B$3)+SUMIFS(Partidos!$O:$O,Partidos!$C:$C,Partidos!$X$2,Partidos!$F:$F,$B$3,Partidos!$G:$G,$A25)+SUMIFS(Partidos!$O:$O,Partidos!$C:$C,Partidos!$X$2,Partidos!$F:$F,$A25,Partidos!$G:$G,$B$3)))</f>
        <v/>
      </c>
      <c r="J25" s="10" t="str">
        <f>IF($A25="","",IF($A25="","",SUMIFS(Partidos!$O:$O,Partidos!$C:$C,Partidos!$X$2,Partidos!$D:$D,$B$3,Partidos!$E:$E,$A25)+SUMIFS(Partidos!$O:$O,Partidos!$C:$C,Partidos!$X$2,Partidos!$D:$D,$A25,Partidos!$E:$E,$B$3)+SUMIFS(Partidos!$N:$N,Partidos!$C:$C,Partidos!$X$2,Partidos!$F:$F,$B$3,Partidos!$G:$G,$A25)+SUMIFS(Partidos!$N:$N,Partidos!$C:$C,Partidos!$X$2,Partidos!$F:$F,$A25,Partidos!$G:$G,$B$3)))</f>
        <v/>
      </c>
      <c r="K25" s="10" t="str">
        <f t="shared" si="4"/>
        <v/>
      </c>
      <c r="L25" t="str">
        <f t="shared" si="5"/>
        <v/>
      </c>
      <c r="T25" t="str">
        <f t="shared" si="0"/>
        <v/>
      </c>
    </row>
    <row r="26" spans="1:20" x14ac:dyDescent="0.3">
      <c r="A26" s="9" t="str">
        <f>IF(Jugadores!B22="","",IF(Jugadores!B22=$B$3,"",Jugadores!B22))</f>
        <v/>
      </c>
      <c r="B26" s="2" t="str">
        <f>IF($A26="","",COUNTIFS(Partidos!$C:$C,Partidos!$X$2,Partidos!$D:$D,$B$3,Partidos!$E:$E,$A26)+COUNTIFS(Partidos!$C:$C,Partidos!$X$2,Partidos!$D:$D,$A26,Partidos!$E:$E,$B$3)+COUNTIFS(Partidos!$C:$C,Partidos!$X$2,Partidos!$F:$F,$B$3,Partidos!$G:$G,$A26)+COUNTIFS(Partidos!$C:$C,Partidos!$X$2,Partidos!$F:$F,$A26,Partidos!$G:$G,$B$3))</f>
        <v/>
      </c>
      <c r="C26" s="2" t="str">
        <f>IF($A26="","",COUNTIFS(Partidos!$C:$C,Partidos!$X$2,Partidos!$P:$P,"A",Partidos!$D:$D,$B$3,Partidos!$E:$E,$A26)+COUNTIFS(Partidos!$C:$C,Partidos!$X$2,Partidos!$P:$P,"A",Partidos!$D:$D,$A26,Partidos!$E:$E,$B$3)+COUNTIFS(Partidos!$C:$C,Partidos!$X$2,Partidos!$P:$P,"B",Partidos!$F:$F,$B$3,Partidos!$G:$G,$A26)+COUNTIFS(Partidos!$C:$C,Partidos!$X$2,Partidos!$P:$P,"B",Partidos!$F:$F,$A26,Partidos!$G:$G,$B$3))</f>
        <v/>
      </c>
      <c r="D26" s="2" t="str">
        <f t="shared" si="1"/>
        <v/>
      </c>
      <c r="E26" s="45" t="str">
        <f t="shared" si="2"/>
        <v/>
      </c>
      <c r="F26" s="10" t="str">
        <f>IF($A26="","",SUMIFS(Partidos!$Q:$Q,Partidos!$C:$C,Partidos!$X$2,Partidos!$D:$D,$B$3,Partidos!$E:$E,$A26)+SUMIFS(Partidos!$Q:$Q,Partidos!$C:$C,Partidos!$X$2,Partidos!$D:$D,$A26,Partidos!$E:$E,$B$3)+SUMIFS(Partidos!$R:$R,Partidos!$C:$C,Partidos!$X$2,Partidos!$F:$F,$B$3,Partidos!$G:$G,$A26)+SUMIFS(Partidos!$R:$R,Partidos!$C:$C,Partidos!$X$2,Partidos!$F:$F,$A26,Partidos!$G:$G,$B$3))</f>
        <v/>
      </c>
      <c r="G26" s="10" t="str">
        <f>IF($A26="","",SUMIFS(Partidos!$R:$R,Partidos!$C:$C,Partidos!$X$2,Partidos!$D:$D,$B$3,Partidos!$E:$E,$A26)+SUMIFS(Partidos!$R:$R,Partidos!$C:$C,Partidos!$X$2,Partidos!$D:$D,$A26,Partidos!$E:$E,$B$3)+SUMIFS(Partidos!$Q:$Q,Partidos!$C:$C,Partidos!$X$2,Partidos!$F:$F,$B$3,Partidos!$G:$G,$A26)+SUMIFS(Partidos!$Q:$Q,Partidos!$C:$C,Partidos!$X$2,Partidos!$F:$F,$A26,Partidos!$G:$G,$B$3))</f>
        <v/>
      </c>
      <c r="H26" s="10" t="str">
        <f t="shared" si="3"/>
        <v/>
      </c>
      <c r="I26" s="10" t="str">
        <f>IF($A26="","",IF($A26="","",SUMIFS(Partidos!$N:$N,Partidos!$C:$C,Partidos!$X$2,Partidos!$D:$D,$B$3,Partidos!$E:$E,$A26)+SUMIFS(Partidos!$N:$N,Partidos!$C:$C,Partidos!$X$2,Partidos!$D:$D,$A26,Partidos!$E:$E,$B$3)+SUMIFS(Partidos!$O:$O,Partidos!$C:$C,Partidos!$X$2,Partidos!$F:$F,$B$3,Partidos!$G:$G,$A26)+SUMIFS(Partidos!$O:$O,Partidos!$C:$C,Partidos!$X$2,Partidos!$F:$F,$A26,Partidos!$G:$G,$B$3)))</f>
        <v/>
      </c>
      <c r="J26" s="10" t="str">
        <f>IF($A26="","",IF($A26="","",SUMIFS(Partidos!$O:$O,Partidos!$C:$C,Partidos!$X$2,Partidos!$D:$D,$B$3,Partidos!$E:$E,$A26)+SUMIFS(Partidos!$O:$O,Partidos!$C:$C,Partidos!$X$2,Partidos!$D:$D,$A26,Partidos!$E:$E,$B$3)+SUMIFS(Partidos!$N:$N,Partidos!$C:$C,Partidos!$X$2,Partidos!$F:$F,$B$3,Partidos!$G:$G,$A26)+SUMIFS(Partidos!$N:$N,Partidos!$C:$C,Partidos!$X$2,Partidos!$F:$F,$A26,Partidos!$G:$G,$B$3)))</f>
        <v/>
      </c>
      <c r="K26" s="10" t="str">
        <f t="shared" si="4"/>
        <v/>
      </c>
      <c r="L26" t="str">
        <f t="shared" si="5"/>
        <v/>
      </c>
      <c r="T26" t="str">
        <f t="shared" si="0"/>
        <v/>
      </c>
    </row>
    <row r="27" spans="1:20" x14ac:dyDescent="0.3">
      <c r="A27" s="9" t="str">
        <f>IF(Jugadores!B23="","",IF(Jugadores!B23=$B$3,"",Jugadores!B23))</f>
        <v/>
      </c>
      <c r="B27" s="2" t="str">
        <f>IF($A27="","",COUNTIFS(Partidos!$C:$C,Partidos!$X$2,Partidos!$D:$D,$B$3,Partidos!$E:$E,$A27)+COUNTIFS(Partidos!$C:$C,Partidos!$X$2,Partidos!$D:$D,$A27,Partidos!$E:$E,$B$3)+COUNTIFS(Partidos!$C:$C,Partidos!$X$2,Partidos!$F:$F,$B$3,Partidos!$G:$G,$A27)+COUNTIFS(Partidos!$C:$C,Partidos!$X$2,Partidos!$F:$F,$A27,Partidos!$G:$G,$B$3))</f>
        <v/>
      </c>
      <c r="C27" s="2" t="str">
        <f>IF($A27="","",COUNTIFS(Partidos!$C:$C,Partidos!$X$2,Partidos!$P:$P,"A",Partidos!$D:$D,$B$3,Partidos!$E:$E,$A27)+COUNTIFS(Partidos!$C:$C,Partidos!$X$2,Partidos!$P:$P,"A",Partidos!$D:$D,$A27,Partidos!$E:$E,$B$3)+COUNTIFS(Partidos!$C:$C,Partidos!$X$2,Partidos!$P:$P,"B",Partidos!$F:$F,$B$3,Partidos!$G:$G,$A27)+COUNTIFS(Partidos!$C:$C,Partidos!$X$2,Partidos!$P:$P,"B",Partidos!$F:$F,$A27,Partidos!$G:$G,$B$3))</f>
        <v/>
      </c>
      <c r="D27" s="2" t="str">
        <f t="shared" si="1"/>
        <v/>
      </c>
      <c r="E27" s="45" t="str">
        <f t="shared" si="2"/>
        <v/>
      </c>
      <c r="F27" s="10" t="str">
        <f>IF($A27="","",SUMIFS(Partidos!$Q:$Q,Partidos!$C:$C,Partidos!$X$2,Partidos!$D:$D,$B$3,Partidos!$E:$E,$A27)+SUMIFS(Partidos!$Q:$Q,Partidos!$C:$C,Partidos!$X$2,Partidos!$D:$D,$A27,Partidos!$E:$E,$B$3)+SUMIFS(Partidos!$R:$R,Partidos!$C:$C,Partidos!$X$2,Partidos!$F:$F,$B$3,Partidos!$G:$G,$A27)+SUMIFS(Partidos!$R:$R,Partidos!$C:$C,Partidos!$X$2,Partidos!$F:$F,$A27,Partidos!$G:$G,$B$3))</f>
        <v/>
      </c>
      <c r="G27" s="10" t="str">
        <f>IF($A27="","",SUMIFS(Partidos!$R:$R,Partidos!$C:$C,Partidos!$X$2,Partidos!$D:$D,$B$3,Partidos!$E:$E,$A27)+SUMIFS(Partidos!$R:$R,Partidos!$C:$C,Partidos!$X$2,Partidos!$D:$D,$A27,Partidos!$E:$E,$B$3)+SUMIFS(Partidos!$Q:$Q,Partidos!$C:$C,Partidos!$X$2,Partidos!$F:$F,$B$3,Partidos!$G:$G,$A27)+SUMIFS(Partidos!$Q:$Q,Partidos!$C:$C,Partidos!$X$2,Partidos!$F:$F,$A27,Partidos!$G:$G,$B$3))</f>
        <v/>
      </c>
      <c r="H27" s="10" t="str">
        <f t="shared" si="3"/>
        <v/>
      </c>
      <c r="I27" s="10" t="str">
        <f>IF($A27="","",IF($A27="","",SUMIFS(Partidos!$N:$N,Partidos!$C:$C,Partidos!$X$2,Partidos!$D:$D,$B$3,Partidos!$E:$E,$A27)+SUMIFS(Partidos!$N:$N,Partidos!$C:$C,Partidos!$X$2,Partidos!$D:$D,$A27,Partidos!$E:$E,$B$3)+SUMIFS(Partidos!$O:$O,Partidos!$C:$C,Partidos!$X$2,Partidos!$F:$F,$B$3,Partidos!$G:$G,$A27)+SUMIFS(Partidos!$O:$O,Partidos!$C:$C,Partidos!$X$2,Partidos!$F:$F,$A27,Partidos!$G:$G,$B$3)))</f>
        <v/>
      </c>
      <c r="J27" s="10" t="str">
        <f>IF($A27="","",IF($A27="","",SUMIFS(Partidos!$O:$O,Partidos!$C:$C,Partidos!$X$2,Partidos!$D:$D,$B$3,Partidos!$E:$E,$A27)+SUMIFS(Partidos!$O:$O,Partidos!$C:$C,Partidos!$X$2,Partidos!$D:$D,$A27,Partidos!$E:$E,$B$3)+SUMIFS(Partidos!$N:$N,Partidos!$C:$C,Partidos!$X$2,Partidos!$F:$F,$B$3,Partidos!$G:$G,$A27)+SUMIFS(Partidos!$N:$N,Partidos!$C:$C,Partidos!$X$2,Partidos!$F:$F,$A27,Partidos!$G:$G,$B$3)))</f>
        <v/>
      </c>
      <c r="K27" s="10" t="str">
        <f t="shared" si="4"/>
        <v/>
      </c>
      <c r="L27" t="str">
        <f t="shared" si="5"/>
        <v/>
      </c>
      <c r="T27" t="str">
        <f t="shared" si="0"/>
        <v/>
      </c>
    </row>
    <row r="28" spans="1:20" x14ac:dyDescent="0.3">
      <c r="A28" s="9" t="str">
        <f>IF(Jugadores!B24="","",IF(Jugadores!B24=$B$3,"",Jugadores!B24))</f>
        <v/>
      </c>
      <c r="B28" s="2" t="str">
        <f>IF($A28="","",COUNTIFS(Partidos!$C:$C,Partidos!$X$2,Partidos!$D:$D,$B$3,Partidos!$E:$E,$A28)+COUNTIFS(Partidos!$C:$C,Partidos!$X$2,Partidos!$D:$D,$A28,Partidos!$E:$E,$B$3)+COUNTIFS(Partidos!$C:$C,Partidos!$X$2,Partidos!$F:$F,$B$3,Partidos!$G:$G,$A28)+COUNTIFS(Partidos!$C:$C,Partidos!$X$2,Partidos!$F:$F,$A28,Partidos!$G:$G,$B$3))</f>
        <v/>
      </c>
      <c r="C28" s="2" t="str">
        <f>IF($A28="","",COUNTIFS(Partidos!$C:$C,Partidos!$X$2,Partidos!$P:$P,"A",Partidos!$D:$D,$B$3,Partidos!$E:$E,$A28)+COUNTIFS(Partidos!$C:$C,Partidos!$X$2,Partidos!$P:$P,"A",Partidos!$D:$D,$A28,Partidos!$E:$E,$B$3)+COUNTIFS(Partidos!$C:$C,Partidos!$X$2,Partidos!$P:$P,"B",Partidos!$F:$F,$B$3,Partidos!$G:$G,$A28)+COUNTIFS(Partidos!$C:$C,Partidos!$X$2,Partidos!$P:$P,"B",Partidos!$F:$F,$A28,Partidos!$G:$G,$B$3))</f>
        <v/>
      </c>
      <c r="D28" s="2" t="str">
        <f t="shared" si="1"/>
        <v/>
      </c>
      <c r="E28" s="45" t="str">
        <f t="shared" si="2"/>
        <v/>
      </c>
      <c r="F28" s="10" t="str">
        <f>IF($A28="","",SUMIFS(Partidos!$Q:$Q,Partidos!$C:$C,Partidos!$X$2,Partidos!$D:$D,$B$3,Partidos!$E:$E,$A28)+SUMIFS(Partidos!$Q:$Q,Partidos!$C:$C,Partidos!$X$2,Partidos!$D:$D,$A28,Partidos!$E:$E,$B$3)+SUMIFS(Partidos!$R:$R,Partidos!$C:$C,Partidos!$X$2,Partidos!$F:$F,$B$3,Partidos!$G:$G,$A28)+SUMIFS(Partidos!$R:$R,Partidos!$C:$C,Partidos!$X$2,Partidos!$F:$F,$A28,Partidos!$G:$G,$B$3))</f>
        <v/>
      </c>
      <c r="G28" s="10" t="str">
        <f>IF($A28="","",SUMIFS(Partidos!$R:$R,Partidos!$C:$C,Partidos!$X$2,Partidos!$D:$D,$B$3,Partidos!$E:$E,$A28)+SUMIFS(Partidos!$R:$R,Partidos!$C:$C,Partidos!$X$2,Partidos!$D:$D,$A28,Partidos!$E:$E,$B$3)+SUMIFS(Partidos!$Q:$Q,Partidos!$C:$C,Partidos!$X$2,Partidos!$F:$F,$B$3,Partidos!$G:$G,$A28)+SUMIFS(Partidos!$Q:$Q,Partidos!$C:$C,Partidos!$X$2,Partidos!$F:$F,$A28,Partidos!$G:$G,$B$3))</f>
        <v/>
      </c>
      <c r="H28" s="10" t="str">
        <f t="shared" si="3"/>
        <v/>
      </c>
      <c r="I28" s="10" t="str">
        <f>IF($A28="","",IF($A28="","",SUMIFS(Partidos!$N:$N,Partidos!$C:$C,Partidos!$X$2,Partidos!$D:$D,$B$3,Partidos!$E:$E,$A28)+SUMIFS(Partidos!$N:$N,Partidos!$C:$C,Partidos!$X$2,Partidos!$D:$D,$A28,Partidos!$E:$E,$B$3)+SUMIFS(Partidos!$O:$O,Partidos!$C:$C,Partidos!$X$2,Partidos!$F:$F,$B$3,Partidos!$G:$G,$A28)+SUMIFS(Partidos!$O:$O,Partidos!$C:$C,Partidos!$X$2,Partidos!$F:$F,$A28,Partidos!$G:$G,$B$3)))</f>
        <v/>
      </c>
      <c r="J28" s="10" t="str">
        <f>IF($A28="","",IF($A28="","",SUMIFS(Partidos!$O:$O,Partidos!$C:$C,Partidos!$X$2,Partidos!$D:$D,$B$3,Partidos!$E:$E,$A28)+SUMIFS(Partidos!$O:$O,Partidos!$C:$C,Partidos!$X$2,Partidos!$D:$D,$A28,Partidos!$E:$E,$B$3)+SUMIFS(Partidos!$N:$N,Partidos!$C:$C,Partidos!$X$2,Partidos!$F:$F,$B$3,Partidos!$G:$G,$A28)+SUMIFS(Partidos!$N:$N,Partidos!$C:$C,Partidos!$X$2,Partidos!$F:$F,$A28,Partidos!$G:$G,$B$3)))</f>
        <v/>
      </c>
      <c r="K28" s="10" t="str">
        <f t="shared" si="4"/>
        <v/>
      </c>
      <c r="L28" t="str">
        <f t="shared" si="5"/>
        <v/>
      </c>
      <c r="T28" t="str">
        <f t="shared" si="0"/>
        <v/>
      </c>
    </row>
    <row r="29" spans="1:20" x14ac:dyDescent="0.3">
      <c r="A29" s="9" t="str">
        <f>IF(Jugadores!B25="","",IF(Jugadores!B25=$B$3,"",Jugadores!B25))</f>
        <v/>
      </c>
      <c r="B29" s="2" t="str">
        <f>IF($A29="","",COUNTIFS(Partidos!$C:$C,Partidos!$X$2,Partidos!$D:$D,$B$3,Partidos!$E:$E,$A29)+COUNTIFS(Partidos!$C:$C,Partidos!$X$2,Partidos!$D:$D,$A29,Partidos!$E:$E,$B$3)+COUNTIFS(Partidos!$C:$C,Partidos!$X$2,Partidos!$F:$F,$B$3,Partidos!$G:$G,$A29)+COUNTIFS(Partidos!$C:$C,Partidos!$X$2,Partidos!$F:$F,$A29,Partidos!$G:$G,$B$3))</f>
        <v/>
      </c>
      <c r="C29" s="2" t="str">
        <f>IF($A29="","",COUNTIFS(Partidos!$C:$C,Partidos!$X$2,Partidos!$P:$P,"A",Partidos!$D:$D,$B$3,Partidos!$E:$E,$A29)+COUNTIFS(Partidos!$C:$C,Partidos!$X$2,Partidos!$P:$P,"A",Partidos!$D:$D,$A29,Partidos!$E:$E,$B$3)+COUNTIFS(Partidos!$C:$C,Partidos!$X$2,Partidos!$P:$P,"B",Partidos!$F:$F,$B$3,Partidos!$G:$G,$A29)+COUNTIFS(Partidos!$C:$C,Partidos!$X$2,Partidos!$P:$P,"B",Partidos!$F:$F,$A29,Partidos!$G:$G,$B$3))</f>
        <v/>
      </c>
      <c r="D29" s="2" t="str">
        <f t="shared" si="1"/>
        <v/>
      </c>
      <c r="E29" s="45" t="str">
        <f t="shared" si="2"/>
        <v/>
      </c>
      <c r="F29" s="10" t="str">
        <f>IF($A29="","",SUMIFS(Partidos!$Q:$Q,Partidos!$C:$C,Partidos!$X$2,Partidos!$D:$D,$B$3,Partidos!$E:$E,$A29)+SUMIFS(Partidos!$Q:$Q,Partidos!$C:$C,Partidos!$X$2,Partidos!$D:$D,$A29,Partidos!$E:$E,$B$3)+SUMIFS(Partidos!$R:$R,Partidos!$C:$C,Partidos!$X$2,Partidos!$F:$F,$B$3,Partidos!$G:$G,$A29)+SUMIFS(Partidos!$R:$R,Partidos!$C:$C,Partidos!$X$2,Partidos!$F:$F,$A29,Partidos!$G:$G,$B$3))</f>
        <v/>
      </c>
      <c r="G29" s="10" t="str">
        <f>IF($A29="","",SUMIFS(Partidos!$R:$R,Partidos!$C:$C,Partidos!$X$2,Partidos!$D:$D,$B$3,Partidos!$E:$E,$A29)+SUMIFS(Partidos!$R:$R,Partidos!$C:$C,Partidos!$X$2,Partidos!$D:$D,$A29,Partidos!$E:$E,$B$3)+SUMIFS(Partidos!$Q:$Q,Partidos!$C:$C,Partidos!$X$2,Partidos!$F:$F,$B$3,Partidos!$G:$G,$A29)+SUMIFS(Partidos!$Q:$Q,Partidos!$C:$C,Partidos!$X$2,Partidos!$F:$F,$A29,Partidos!$G:$G,$B$3))</f>
        <v/>
      </c>
      <c r="H29" s="10" t="str">
        <f t="shared" si="3"/>
        <v/>
      </c>
      <c r="I29" s="10" t="str">
        <f>IF($A29="","",IF($A29="","",SUMIFS(Partidos!$N:$N,Partidos!$C:$C,Partidos!$X$2,Partidos!$D:$D,$B$3,Partidos!$E:$E,$A29)+SUMIFS(Partidos!$N:$N,Partidos!$C:$C,Partidos!$X$2,Partidos!$D:$D,$A29,Partidos!$E:$E,$B$3)+SUMIFS(Partidos!$O:$O,Partidos!$C:$C,Partidos!$X$2,Partidos!$F:$F,$B$3,Partidos!$G:$G,$A29)+SUMIFS(Partidos!$O:$O,Partidos!$C:$C,Partidos!$X$2,Partidos!$F:$F,$A29,Partidos!$G:$G,$B$3)))</f>
        <v/>
      </c>
      <c r="J29" s="10" t="str">
        <f>IF($A29="","",IF($A29="","",SUMIFS(Partidos!$O:$O,Partidos!$C:$C,Partidos!$X$2,Partidos!$D:$D,$B$3,Partidos!$E:$E,$A29)+SUMIFS(Partidos!$O:$O,Partidos!$C:$C,Partidos!$X$2,Partidos!$D:$D,$A29,Partidos!$E:$E,$B$3)+SUMIFS(Partidos!$N:$N,Partidos!$C:$C,Partidos!$X$2,Partidos!$F:$F,$B$3,Partidos!$G:$G,$A29)+SUMIFS(Partidos!$N:$N,Partidos!$C:$C,Partidos!$X$2,Partidos!$F:$F,$A29,Partidos!$G:$G,$B$3)))</f>
        <v/>
      </c>
      <c r="K29" s="10" t="str">
        <f t="shared" si="4"/>
        <v/>
      </c>
      <c r="L29" t="str">
        <f t="shared" si="5"/>
        <v/>
      </c>
      <c r="T29" t="str">
        <f t="shared" si="0"/>
        <v/>
      </c>
    </row>
    <row r="30" spans="1:20" x14ac:dyDescent="0.3">
      <c r="A30" s="9" t="str">
        <f>IF(Jugadores!B26="","",IF(Jugadores!B26=$B$3,"",Jugadores!B26))</f>
        <v/>
      </c>
      <c r="B30" s="2" t="str">
        <f>IF($A30="","",COUNTIFS(Partidos!$C:$C,Partidos!$X$2,Partidos!$D:$D,$B$3,Partidos!$E:$E,$A30)+COUNTIFS(Partidos!$C:$C,Partidos!$X$2,Partidos!$D:$D,$A30,Partidos!$E:$E,$B$3)+COUNTIFS(Partidos!$C:$C,Partidos!$X$2,Partidos!$F:$F,$B$3,Partidos!$G:$G,$A30)+COUNTIFS(Partidos!$C:$C,Partidos!$X$2,Partidos!$F:$F,$A30,Partidos!$G:$G,$B$3))</f>
        <v/>
      </c>
      <c r="C30" s="2" t="str">
        <f>IF($A30="","",COUNTIFS(Partidos!$C:$C,Partidos!$X$2,Partidos!$P:$P,"A",Partidos!$D:$D,$B$3,Partidos!$E:$E,$A30)+COUNTIFS(Partidos!$C:$C,Partidos!$X$2,Partidos!$P:$P,"A",Partidos!$D:$D,$A30,Partidos!$E:$E,$B$3)+COUNTIFS(Partidos!$C:$C,Partidos!$X$2,Partidos!$P:$P,"B",Partidos!$F:$F,$B$3,Partidos!$G:$G,$A30)+COUNTIFS(Partidos!$C:$C,Partidos!$X$2,Partidos!$P:$P,"B",Partidos!$F:$F,$A30,Partidos!$G:$G,$B$3))</f>
        <v/>
      </c>
      <c r="D30" s="2" t="str">
        <f t="shared" si="1"/>
        <v/>
      </c>
      <c r="E30" s="45" t="str">
        <f t="shared" si="2"/>
        <v/>
      </c>
      <c r="F30" s="10" t="str">
        <f>IF($A30="","",SUMIFS(Partidos!$Q:$Q,Partidos!$C:$C,Partidos!$X$2,Partidos!$D:$D,$B$3,Partidos!$E:$E,$A30)+SUMIFS(Partidos!$Q:$Q,Partidos!$C:$C,Partidos!$X$2,Partidos!$D:$D,$A30,Partidos!$E:$E,$B$3)+SUMIFS(Partidos!$R:$R,Partidos!$C:$C,Partidos!$X$2,Partidos!$F:$F,$B$3,Partidos!$G:$G,$A30)+SUMIFS(Partidos!$R:$R,Partidos!$C:$C,Partidos!$X$2,Partidos!$F:$F,$A30,Partidos!$G:$G,$B$3))</f>
        <v/>
      </c>
      <c r="G30" s="10" t="str">
        <f>IF($A30="","",SUMIFS(Partidos!$R:$R,Partidos!$C:$C,Partidos!$X$2,Partidos!$D:$D,$B$3,Partidos!$E:$E,$A30)+SUMIFS(Partidos!$R:$R,Partidos!$C:$C,Partidos!$X$2,Partidos!$D:$D,$A30,Partidos!$E:$E,$B$3)+SUMIFS(Partidos!$Q:$Q,Partidos!$C:$C,Partidos!$X$2,Partidos!$F:$F,$B$3,Partidos!$G:$G,$A30)+SUMIFS(Partidos!$Q:$Q,Partidos!$C:$C,Partidos!$X$2,Partidos!$F:$F,$A30,Partidos!$G:$G,$B$3))</f>
        <v/>
      </c>
      <c r="H30" s="10" t="str">
        <f t="shared" si="3"/>
        <v/>
      </c>
      <c r="I30" s="10" t="str">
        <f>IF($A30="","",IF($A30="","",SUMIFS(Partidos!$N:$N,Partidos!$C:$C,Partidos!$X$2,Partidos!$D:$D,$B$3,Partidos!$E:$E,$A30)+SUMIFS(Partidos!$N:$N,Partidos!$C:$C,Partidos!$X$2,Partidos!$D:$D,$A30,Partidos!$E:$E,$B$3)+SUMIFS(Partidos!$O:$O,Partidos!$C:$C,Partidos!$X$2,Partidos!$F:$F,$B$3,Partidos!$G:$G,$A30)+SUMIFS(Partidos!$O:$O,Partidos!$C:$C,Partidos!$X$2,Partidos!$F:$F,$A30,Partidos!$G:$G,$B$3)))</f>
        <v/>
      </c>
      <c r="J30" s="10" t="str">
        <f>IF($A30="","",IF($A30="","",SUMIFS(Partidos!$O:$O,Partidos!$C:$C,Partidos!$X$2,Partidos!$D:$D,$B$3,Partidos!$E:$E,$A30)+SUMIFS(Partidos!$O:$O,Partidos!$C:$C,Partidos!$X$2,Partidos!$D:$D,$A30,Partidos!$E:$E,$B$3)+SUMIFS(Partidos!$N:$N,Partidos!$C:$C,Partidos!$X$2,Partidos!$F:$F,$B$3,Partidos!$G:$G,$A30)+SUMIFS(Partidos!$N:$N,Partidos!$C:$C,Partidos!$X$2,Partidos!$F:$F,$A30,Partidos!$G:$G,$B$3)))</f>
        <v/>
      </c>
      <c r="K30" s="10" t="str">
        <f t="shared" si="4"/>
        <v/>
      </c>
      <c r="L30" t="str">
        <f t="shared" si="5"/>
        <v/>
      </c>
      <c r="T30" t="str">
        <f t="shared" si="0"/>
        <v/>
      </c>
    </row>
    <row r="31" spans="1:20" x14ac:dyDescent="0.3">
      <c r="A31" s="9" t="str">
        <f>IF(Jugadores!B27="","",IF(Jugadores!B27=$B$3,"",Jugadores!B27))</f>
        <v/>
      </c>
      <c r="B31" s="2" t="str">
        <f>IF($A31="","",COUNTIFS(Partidos!$C:$C,Partidos!$X$2,Partidos!$D:$D,$B$3,Partidos!$E:$E,$A31)+COUNTIFS(Partidos!$C:$C,Partidos!$X$2,Partidos!$D:$D,$A31,Partidos!$E:$E,$B$3)+COUNTIFS(Partidos!$C:$C,Partidos!$X$2,Partidos!$F:$F,$B$3,Partidos!$G:$G,$A31)+COUNTIFS(Partidos!$C:$C,Partidos!$X$2,Partidos!$F:$F,$A31,Partidos!$G:$G,$B$3))</f>
        <v/>
      </c>
      <c r="C31" s="2" t="str">
        <f>IF($A31="","",COUNTIFS(Partidos!$C:$C,Partidos!$X$2,Partidos!$P:$P,"A",Partidos!$D:$D,$B$3,Partidos!$E:$E,$A31)+COUNTIFS(Partidos!$C:$C,Partidos!$X$2,Partidos!$P:$P,"A",Partidos!$D:$D,$A31,Partidos!$E:$E,$B$3)+COUNTIFS(Partidos!$C:$C,Partidos!$X$2,Partidos!$P:$P,"B",Partidos!$F:$F,$B$3,Partidos!$G:$G,$A31)+COUNTIFS(Partidos!$C:$C,Partidos!$X$2,Partidos!$P:$P,"B",Partidos!$F:$F,$A31,Partidos!$G:$G,$B$3))</f>
        <v/>
      </c>
      <c r="D31" s="2" t="str">
        <f t="shared" si="1"/>
        <v/>
      </c>
      <c r="E31" s="45" t="str">
        <f t="shared" si="2"/>
        <v/>
      </c>
      <c r="F31" s="10" t="str">
        <f>IF($A31="","",SUMIFS(Partidos!$Q:$Q,Partidos!$C:$C,Partidos!$X$2,Partidos!$D:$D,$B$3,Partidos!$E:$E,$A31)+SUMIFS(Partidos!$Q:$Q,Partidos!$C:$C,Partidos!$X$2,Partidos!$D:$D,$A31,Partidos!$E:$E,$B$3)+SUMIFS(Partidos!$R:$R,Partidos!$C:$C,Partidos!$X$2,Partidos!$F:$F,$B$3,Partidos!$G:$G,$A31)+SUMIFS(Partidos!$R:$R,Partidos!$C:$C,Partidos!$X$2,Partidos!$F:$F,$A31,Partidos!$G:$G,$B$3))</f>
        <v/>
      </c>
      <c r="G31" s="10" t="str">
        <f>IF($A31="","",SUMIFS(Partidos!$R:$R,Partidos!$C:$C,Partidos!$X$2,Partidos!$D:$D,$B$3,Partidos!$E:$E,$A31)+SUMIFS(Partidos!$R:$R,Partidos!$C:$C,Partidos!$X$2,Partidos!$D:$D,$A31,Partidos!$E:$E,$B$3)+SUMIFS(Partidos!$Q:$Q,Partidos!$C:$C,Partidos!$X$2,Partidos!$F:$F,$B$3,Partidos!$G:$G,$A31)+SUMIFS(Partidos!$Q:$Q,Partidos!$C:$C,Partidos!$X$2,Partidos!$F:$F,$A31,Partidos!$G:$G,$B$3))</f>
        <v/>
      </c>
      <c r="H31" s="10" t="str">
        <f t="shared" si="3"/>
        <v/>
      </c>
      <c r="I31" s="10" t="str">
        <f>IF($A31="","",IF($A31="","",SUMIFS(Partidos!$N:$N,Partidos!$C:$C,Partidos!$X$2,Partidos!$D:$D,$B$3,Partidos!$E:$E,$A31)+SUMIFS(Partidos!$N:$N,Partidos!$C:$C,Partidos!$X$2,Partidos!$D:$D,$A31,Partidos!$E:$E,$B$3)+SUMIFS(Partidos!$O:$O,Partidos!$C:$C,Partidos!$X$2,Partidos!$F:$F,$B$3,Partidos!$G:$G,$A31)+SUMIFS(Partidos!$O:$O,Partidos!$C:$C,Partidos!$X$2,Partidos!$F:$F,$A31,Partidos!$G:$G,$B$3)))</f>
        <v/>
      </c>
      <c r="J31" s="10" t="str">
        <f>IF($A31="","",IF($A31="","",SUMIFS(Partidos!$O:$O,Partidos!$C:$C,Partidos!$X$2,Partidos!$D:$D,$B$3,Partidos!$E:$E,$A31)+SUMIFS(Partidos!$O:$O,Partidos!$C:$C,Partidos!$X$2,Partidos!$D:$D,$A31,Partidos!$E:$E,$B$3)+SUMIFS(Partidos!$N:$N,Partidos!$C:$C,Partidos!$X$2,Partidos!$F:$F,$B$3,Partidos!$G:$G,$A31)+SUMIFS(Partidos!$N:$N,Partidos!$C:$C,Partidos!$X$2,Partidos!$F:$F,$A31,Partidos!$G:$G,$B$3)))</f>
        <v/>
      </c>
      <c r="K31" s="10" t="str">
        <f t="shared" si="4"/>
        <v/>
      </c>
      <c r="L31" t="str">
        <f t="shared" si="5"/>
        <v/>
      </c>
      <c r="T31" t="str">
        <f t="shared" si="0"/>
        <v/>
      </c>
    </row>
    <row r="32" spans="1:20" x14ac:dyDescent="0.3">
      <c r="A32" s="9" t="str">
        <f>IF(Jugadores!B28="","",IF(Jugadores!B28=$B$3,"",Jugadores!B28))</f>
        <v/>
      </c>
      <c r="B32" s="2" t="str">
        <f>IF($A32="","",COUNTIFS(Partidos!$C:$C,Partidos!$X$2,Partidos!$D:$D,$B$3,Partidos!$E:$E,$A32)+COUNTIFS(Partidos!$C:$C,Partidos!$X$2,Partidos!$D:$D,$A32,Partidos!$E:$E,$B$3)+COUNTIFS(Partidos!$C:$C,Partidos!$X$2,Partidos!$F:$F,$B$3,Partidos!$G:$G,$A32)+COUNTIFS(Partidos!$C:$C,Partidos!$X$2,Partidos!$F:$F,$A32,Partidos!$G:$G,$B$3))</f>
        <v/>
      </c>
      <c r="C32" s="2" t="str">
        <f>IF($A32="","",COUNTIFS(Partidos!$C:$C,Partidos!$X$2,Partidos!$P:$P,"A",Partidos!$D:$D,$B$3,Partidos!$E:$E,$A32)+COUNTIFS(Partidos!$C:$C,Partidos!$X$2,Partidos!$P:$P,"A",Partidos!$D:$D,$A32,Partidos!$E:$E,$B$3)+COUNTIFS(Partidos!$C:$C,Partidos!$X$2,Partidos!$P:$P,"B",Partidos!$F:$F,$B$3,Partidos!$G:$G,$A32)+COUNTIFS(Partidos!$C:$C,Partidos!$X$2,Partidos!$P:$P,"B",Partidos!$F:$F,$A32,Partidos!$G:$G,$B$3))</f>
        <v/>
      </c>
      <c r="D32" s="2" t="str">
        <f t="shared" si="1"/>
        <v/>
      </c>
      <c r="E32" s="45" t="str">
        <f t="shared" si="2"/>
        <v/>
      </c>
      <c r="F32" s="10" t="str">
        <f>IF($A32="","",SUMIFS(Partidos!$Q:$Q,Partidos!$C:$C,Partidos!$X$2,Partidos!$D:$D,$B$3,Partidos!$E:$E,$A32)+SUMIFS(Partidos!$Q:$Q,Partidos!$C:$C,Partidos!$X$2,Partidos!$D:$D,$A32,Partidos!$E:$E,$B$3)+SUMIFS(Partidos!$R:$R,Partidos!$C:$C,Partidos!$X$2,Partidos!$F:$F,$B$3,Partidos!$G:$G,$A32)+SUMIFS(Partidos!$R:$R,Partidos!$C:$C,Partidos!$X$2,Partidos!$F:$F,$A32,Partidos!$G:$G,$B$3))</f>
        <v/>
      </c>
      <c r="G32" s="10" t="str">
        <f>IF($A32="","",SUMIFS(Partidos!$R:$R,Partidos!$C:$C,Partidos!$X$2,Partidos!$D:$D,$B$3,Partidos!$E:$E,$A32)+SUMIFS(Partidos!$R:$R,Partidos!$C:$C,Partidos!$X$2,Partidos!$D:$D,$A32,Partidos!$E:$E,$B$3)+SUMIFS(Partidos!$Q:$Q,Partidos!$C:$C,Partidos!$X$2,Partidos!$F:$F,$B$3,Partidos!$G:$G,$A32)+SUMIFS(Partidos!$Q:$Q,Partidos!$C:$C,Partidos!$X$2,Partidos!$F:$F,$A32,Partidos!$G:$G,$B$3))</f>
        <v/>
      </c>
      <c r="H32" s="10" t="str">
        <f t="shared" si="3"/>
        <v/>
      </c>
      <c r="I32" s="10" t="str">
        <f>IF($A32="","",IF($A32="","",SUMIFS(Partidos!$N:$N,Partidos!$C:$C,Partidos!$X$2,Partidos!$D:$D,$B$3,Partidos!$E:$E,$A32)+SUMIFS(Partidos!$N:$N,Partidos!$C:$C,Partidos!$X$2,Partidos!$D:$D,$A32,Partidos!$E:$E,$B$3)+SUMIFS(Partidos!$O:$O,Partidos!$C:$C,Partidos!$X$2,Partidos!$F:$F,$B$3,Partidos!$G:$G,$A32)+SUMIFS(Partidos!$O:$O,Partidos!$C:$C,Partidos!$X$2,Partidos!$F:$F,$A32,Partidos!$G:$G,$B$3)))</f>
        <v/>
      </c>
      <c r="J32" s="10" t="str">
        <f>IF($A32="","",IF($A32="","",SUMIFS(Partidos!$O:$O,Partidos!$C:$C,Partidos!$X$2,Partidos!$D:$D,$B$3,Partidos!$E:$E,$A32)+SUMIFS(Partidos!$O:$O,Partidos!$C:$C,Partidos!$X$2,Partidos!$D:$D,$A32,Partidos!$E:$E,$B$3)+SUMIFS(Partidos!$N:$N,Partidos!$C:$C,Partidos!$X$2,Partidos!$F:$F,$B$3,Partidos!$G:$G,$A32)+SUMIFS(Partidos!$N:$N,Partidos!$C:$C,Partidos!$X$2,Partidos!$F:$F,$A32,Partidos!$G:$G,$B$3)))</f>
        <v/>
      </c>
      <c r="K32" s="10" t="str">
        <f t="shared" si="4"/>
        <v/>
      </c>
      <c r="L32" t="str">
        <f t="shared" si="5"/>
        <v/>
      </c>
      <c r="T32" t="str">
        <f t="shared" si="0"/>
        <v/>
      </c>
    </row>
    <row r="33" spans="1:20" x14ac:dyDescent="0.3">
      <c r="A33" s="9" t="str">
        <f>IF(Jugadores!B29="","",IF(Jugadores!B29=$B$3,"",Jugadores!B29))</f>
        <v/>
      </c>
      <c r="B33" s="2" t="str">
        <f>IF($A33="","",COUNTIFS(Partidos!$C:$C,Partidos!$X$2,Partidos!$D:$D,$B$3,Partidos!$E:$E,$A33)+COUNTIFS(Partidos!$C:$C,Partidos!$X$2,Partidos!$D:$D,$A33,Partidos!$E:$E,$B$3)+COUNTIFS(Partidos!$C:$C,Partidos!$X$2,Partidos!$F:$F,$B$3,Partidos!$G:$G,$A33)+COUNTIFS(Partidos!$C:$C,Partidos!$X$2,Partidos!$F:$F,$A33,Partidos!$G:$G,$B$3))</f>
        <v/>
      </c>
      <c r="C33" s="2" t="str">
        <f>IF($A33="","",COUNTIFS(Partidos!$C:$C,Partidos!$X$2,Partidos!$P:$P,"A",Partidos!$D:$D,$B$3,Partidos!$E:$E,$A33)+COUNTIFS(Partidos!$C:$C,Partidos!$X$2,Partidos!$P:$P,"A",Partidos!$D:$D,$A33,Partidos!$E:$E,$B$3)+COUNTIFS(Partidos!$C:$C,Partidos!$X$2,Partidos!$P:$P,"B",Partidos!$F:$F,$B$3,Partidos!$G:$G,$A33)+COUNTIFS(Partidos!$C:$C,Partidos!$X$2,Partidos!$P:$P,"B",Partidos!$F:$F,$A33,Partidos!$G:$G,$B$3))</f>
        <v/>
      </c>
      <c r="D33" s="2" t="str">
        <f t="shared" si="1"/>
        <v/>
      </c>
      <c r="E33" s="45" t="str">
        <f t="shared" si="2"/>
        <v/>
      </c>
      <c r="F33" s="10" t="str">
        <f>IF($A33="","",SUMIFS(Partidos!$Q:$Q,Partidos!$C:$C,Partidos!$X$2,Partidos!$D:$D,$B$3,Partidos!$E:$E,$A33)+SUMIFS(Partidos!$Q:$Q,Partidos!$C:$C,Partidos!$X$2,Partidos!$D:$D,$A33,Partidos!$E:$E,$B$3)+SUMIFS(Partidos!$R:$R,Partidos!$C:$C,Partidos!$X$2,Partidos!$F:$F,$B$3,Partidos!$G:$G,$A33)+SUMIFS(Partidos!$R:$R,Partidos!$C:$C,Partidos!$X$2,Partidos!$F:$F,$A33,Partidos!$G:$G,$B$3))</f>
        <v/>
      </c>
      <c r="G33" s="10" t="str">
        <f>IF($A33="","",SUMIFS(Partidos!$R:$R,Partidos!$C:$C,Partidos!$X$2,Partidos!$D:$D,$B$3,Partidos!$E:$E,$A33)+SUMIFS(Partidos!$R:$R,Partidos!$C:$C,Partidos!$X$2,Partidos!$D:$D,$A33,Partidos!$E:$E,$B$3)+SUMIFS(Partidos!$Q:$Q,Partidos!$C:$C,Partidos!$X$2,Partidos!$F:$F,$B$3,Partidos!$G:$G,$A33)+SUMIFS(Partidos!$Q:$Q,Partidos!$C:$C,Partidos!$X$2,Partidos!$F:$F,$A33,Partidos!$G:$G,$B$3))</f>
        <v/>
      </c>
      <c r="H33" s="10" t="str">
        <f t="shared" si="3"/>
        <v/>
      </c>
      <c r="I33" s="10" t="str">
        <f>IF($A33="","",IF($A33="","",SUMIFS(Partidos!$N:$N,Partidos!$C:$C,Partidos!$X$2,Partidos!$D:$D,$B$3,Partidos!$E:$E,$A33)+SUMIFS(Partidos!$N:$N,Partidos!$C:$C,Partidos!$X$2,Partidos!$D:$D,$A33,Partidos!$E:$E,$B$3)+SUMIFS(Partidos!$O:$O,Partidos!$C:$C,Partidos!$X$2,Partidos!$F:$F,$B$3,Partidos!$G:$G,$A33)+SUMIFS(Partidos!$O:$O,Partidos!$C:$C,Partidos!$X$2,Partidos!$F:$F,$A33,Partidos!$G:$G,$B$3)))</f>
        <v/>
      </c>
      <c r="J33" s="10" t="str">
        <f>IF($A33="","",IF($A33="","",SUMIFS(Partidos!$O:$O,Partidos!$C:$C,Partidos!$X$2,Partidos!$D:$D,$B$3,Partidos!$E:$E,$A33)+SUMIFS(Partidos!$O:$O,Partidos!$C:$C,Partidos!$X$2,Partidos!$D:$D,$A33,Partidos!$E:$E,$B$3)+SUMIFS(Partidos!$N:$N,Partidos!$C:$C,Partidos!$X$2,Partidos!$F:$F,$B$3,Partidos!$G:$G,$A33)+SUMIFS(Partidos!$N:$N,Partidos!$C:$C,Partidos!$X$2,Partidos!$F:$F,$A33,Partidos!$G:$G,$B$3)))</f>
        <v/>
      </c>
      <c r="K33" s="10" t="str">
        <f t="shared" si="4"/>
        <v/>
      </c>
      <c r="L33" t="str">
        <f t="shared" si="5"/>
        <v/>
      </c>
      <c r="T33" t="str">
        <f t="shared" si="0"/>
        <v/>
      </c>
    </row>
    <row r="34" spans="1:20" x14ac:dyDescent="0.3">
      <c r="A34" s="9" t="str">
        <f>IF(Jugadores!B30="","",IF(Jugadores!B30=$B$3,"",Jugadores!B30))</f>
        <v/>
      </c>
      <c r="B34" s="2" t="str">
        <f>IF($A34="","",COUNTIFS(Partidos!$C:$C,Partidos!$X$2,Partidos!$D:$D,$B$3,Partidos!$E:$E,$A34)+COUNTIFS(Partidos!$C:$C,Partidos!$X$2,Partidos!$D:$D,$A34,Partidos!$E:$E,$B$3)+COUNTIFS(Partidos!$C:$C,Partidos!$X$2,Partidos!$F:$F,$B$3,Partidos!$G:$G,$A34)+COUNTIFS(Partidos!$C:$C,Partidos!$X$2,Partidos!$F:$F,$A34,Partidos!$G:$G,$B$3))</f>
        <v/>
      </c>
      <c r="C34" s="2" t="str">
        <f>IF($A34="","",COUNTIFS(Partidos!$C:$C,Partidos!$X$2,Partidos!$P:$P,"A",Partidos!$D:$D,$B$3,Partidos!$E:$E,$A34)+COUNTIFS(Partidos!$C:$C,Partidos!$X$2,Partidos!$P:$P,"A",Partidos!$D:$D,$A34,Partidos!$E:$E,$B$3)+COUNTIFS(Partidos!$C:$C,Partidos!$X$2,Partidos!$P:$P,"B",Partidos!$F:$F,$B$3,Partidos!$G:$G,$A34)+COUNTIFS(Partidos!$C:$C,Partidos!$X$2,Partidos!$P:$P,"B",Partidos!$F:$F,$A34,Partidos!$G:$G,$B$3))</f>
        <v/>
      </c>
      <c r="D34" s="2" t="str">
        <f t="shared" si="1"/>
        <v/>
      </c>
      <c r="E34" s="45" t="str">
        <f t="shared" si="2"/>
        <v/>
      </c>
      <c r="F34" s="10" t="str">
        <f>IF($A34="","",SUMIFS(Partidos!$Q:$Q,Partidos!$C:$C,Partidos!$X$2,Partidos!$D:$D,$B$3,Partidos!$E:$E,$A34)+SUMIFS(Partidos!$Q:$Q,Partidos!$C:$C,Partidos!$X$2,Partidos!$D:$D,$A34,Partidos!$E:$E,$B$3)+SUMIFS(Partidos!$R:$R,Partidos!$C:$C,Partidos!$X$2,Partidos!$F:$F,$B$3,Partidos!$G:$G,$A34)+SUMIFS(Partidos!$R:$R,Partidos!$C:$C,Partidos!$X$2,Partidos!$F:$F,$A34,Partidos!$G:$G,$B$3))</f>
        <v/>
      </c>
      <c r="G34" s="10" t="str">
        <f>IF($A34="","",SUMIFS(Partidos!$R:$R,Partidos!$C:$C,Partidos!$X$2,Partidos!$D:$D,$B$3,Partidos!$E:$E,$A34)+SUMIFS(Partidos!$R:$R,Partidos!$C:$C,Partidos!$X$2,Partidos!$D:$D,$A34,Partidos!$E:$E,$B$3)+SUMIFS(Partidos!$Q:$Q,Partidos!$C:$C,Partidos!$X$2,Partidos!$F:$F,$B$3,Partidos!$G:$G,$A34)+SUMIFS(Partidos!$Q:$Q,Partidos!$C:$C,Partidos!$X$2,Partidos!$F:$F,$A34,Partidos!$G:$G,$B$3))</f>
        <v/>
      </c>
      <c r="H34" s="10" t="str">
        <f t="shared" si="3"/>
        <v/>
      </c>
      <c r="I34" s="10" t="str">
        <f>IF($A34="","",IF($A34="","",SUMIFS(Partidos!$N:$N,Partidos!$C:$C,Partidos!$X$2,Partidos!$D:$D,$B$3,Partidos!$E:$E,$A34)+SUMIFS(Partidos!$N:$N,Partidos!$C:$C,Partidos!$X$2,Partidos!$D:$D,$A34,Partidos!$E:$E,$B$3)+SUMIFS(Partidos!$O:$O,Partidos!$C:$C,Partidos!$X$2,Partidos!$F:$F,$B$3,Partidos!$G:$G,$A34)+SUMIFS(Partidos!$O:$O,Partidos!$C:$C,Partidos!$X$2,Partidos!$F:$F,$A34,Partidos!$G:$G,$B$3)))</f>
        <v/>
      </c>
      <c r="J34" s="10" t="str">
        <f>IF($A34="","",IF($A34="","",SUMIFS(Partidos!$O:$O,Partidos!$C:$C,Partidos!$X$2,Partidos!$D:$D,$B$3,Partidos!$E:$E,$A34)+SUMIFS(Partidos!$O:$O,Partidos!$C:$C,Partidos!$X$2,Partidos!$D:$D,$A34,Partidos!$E:$E,$B$3)+SUMIFS(Partidos!$N:$N,Partidos!$C:$C,Partidos!$X$2,Partidos!$F:$F,$B$3,Partidos!$G:$G,$A34)+SUMIFS(Partidos!$N:$N,Partidos!$C:$C,Partidos!$X$2,Partidos!$F:$F,$A34,Partidos!$G:$G,$B$3)))</f>
        <v/>
      </c>
      <c r="K34" s="10" t="str">
        <f t="shared" si="4"/>
        <v/>
      </c>
      <c r="L34" t="str">
        <f t="shared" si="5"/>
        <v/>
      </c>
      <c r="T34" t="str">
        <f t="shared" si="0"/>
        <v/>
      </c>
    </row>
    <row r="35" spans="1:20" x14ac:dyDescent="0.3">
      <c r="A35" s="9" t="str">
        <f>IF(Jugadores!B31="","",IF(Jugadores!B31=$B$3,"",Jugadores!B31))</f>
        <v/>
      </c>
      <c r="B35" s="2" t="str">
        <f>IF($A35="","",COUNTIFS(Partidos!$C:$C,Partidos!$X$2,Partidos!$D:$D,$B$3,Partidos!$E:$E,$A35)+COUNTIFS(Partidos!$C:$C,Partidos!$X$2,Partidos!$D:$D,$A35,Partidos!$E:$E,$B$3)+COUNTIFS(Partidos!$C:$C,Partidos!$X$2,Partidos!$F:$F,$B$3,Partidos!$G:$G,$A35)+COUNTIFS(Partidos!$C:$C,Partidos!$X$2,Partidos!$F:$F,$A35,Partidos!$G:$G,$B$3))</f>
        <v/>
      </c>
      <c r="C35" s="2" t="str">
        <f>IF($A35="","",COUNTIFS(Partidos!$C:$C,Partidos!$X$2,Partidos!$P:$P,"A",Partidos!$D:$D,$B$3,Partidos!$E:$E,$A35)+COUNTIFS(Partidos!$C:$C,Partidos!$X$2,Partidos!$P:$P,"A",Partidos!$D:$D,$A35,Partidos!$E:$E,$B$3)+COUNTIFS(Partidos!$C:$C,Partidos!$X$2,Partidos!$P:$P,"B",Partidos!$F:$F,$B$3,Partidos!$G:$G,$A35)+COUNTIFS(Partidos!$C:$C,Partidos!$X$2,Partidos!$P:$P,"B",Partidos!$F:$F,$A35,Partidos!$G:$G,$B$3))</f>
        <v/>
      </c>
      <c r="D35" s="2" t="str">
        <f t="shared" si="1"/>
        <v/>
      </c>
      <c r="E35" s="45" t="str">
        <f t="shared" si="2"/>
        <v/>
      </c>
      <c r="F35" s="10" t="str">
        <f>IF($A35="","",SUMIFS(Partidos!$Q:$Q,Partidos!$C:$C,Partidos!$X$2,Partidos!$D:$D,$B$3,Partidos!$E:$E,$A35)+SUMIFS(Partidos!$Q:$Q,Partidos!$C:$C,Partidos!$X$2,Partidos!$D:$D,$A35,Partidos!$E:$E,$B$3)+SUMIFS(Partidos!$R:$R,Partidos!$C:$C,Partidos!$X$2,Partidos!$F:$F,$B$3,Partidos!$G:$G,$A35)+SUMIFS(Partidos!$R:$R,Partidos!$C:$C,Partidos!$X$2,Partidos!$F:$F,$A35,Partidos!$G:$G,$B$3))</f>
        <v/>
      </c>
      <c r="G35" s="10" t="str">
        <f>IF($A35="","",SUMIFS(Partidos!$R:$R,Partidos!$C:$C,Partidos!$X$2,Partidos!$D:$D,$B$3,Partidos!$E:$E,$A35)+SUMIFS(Partidos!$R:$R,Partidos!$C:$C,Partidos!$X$2,Partidos!$D:$D,$A35,Partidos!$E:$E,$B$3)+SUMIFS(Partidos!$Q:$Q,Partidos!$C:$C,Partidos!$X$2,Partidos!$F:$F,$B$3,Partidos!$G:$G,$A35)+SUMIFS(Partidos!$Q:$Q,Partidos!$C:$C,Partidos!$X$2,Partidos!$F:$F,$A35,Partidos!$G:$G,$B$3))</f>
        <v/>
      </c>
      <c r="H35" s="10" t="str">
        <f t="shared" si="3"/>
        <v/>
      </c>
      <c r="I35" s="10" t="str">
        <f>IF($A35="","",IF($A35="","",SUMIFS(Partidos!$N:$N,Partidos!$C:$C,Partidos!$X$2,Partidos!$D:$D,$B$3,Partidos!$E:$E,$A35)+SUMIFS(Partidos!$N:$N,Partidos!$C:$C,Partidos!$X$2,Partidos!$D:$D,$A35,Partidos!$E:$E,$B$3)+SUMIFS(Partidos!$O:$O,Partidos!$C:$C,Partidos!$X$2,Partidos!$F:$F,$B$3,Partidos!$G:$G,$A35)+SUMIFS(Partidos!$O:$O,Partidos!$C:$C,Partidos!$X$2,Partidos!$F:$F,$A35,Partidos!$G:$G,$B$3)))</f>
        <v/>
      </c>
      <c r="J35" s="10" t="str">
        <f>IF($A35="","",IF($A35="","",SUMIFS(Partidos!$O:$O,Partidos!$C:$C,Partidos!$X$2,Partidos!$D:$D,$B$3,Partidos!$E:$E,$A35)+SUMIFS(Partidos!$O:$O,Partidos!$C:$C,Partidos!$X$2,Partidos!$D:$D,$A35,Partidos!$E:$E,$B$3)+SUMIFS(Partidos!$N:$N,Partidos!$C:$C,Partidos!$X$2,Partidos!$F:$F,$B$3,Partidos!$G:$G,$A35)+SUMIFS(Partidos!$N:$N,Partidos!$C:$C,Partidos!$X$2,Partidos!$F:$F,$A35,Partidos!$G:$G,$B$3)))</f>
        <v/>
      </c>
      <c r="K35" s="10" t="str">
        <f t="shared" si="4"/>
        <v/>
      </c>
      <c r="L35" t="str">
        <f t="shared" si="5"/>
        <v/>
      </c>
      <c r="T35" t="str">
        <f t="shared" si="0"/>
        <v/>
      </c>
    </row>
    <row r="36" spans="1:20" x14ac:dyDescent="0.3">
      <c r="A36" s="9" t="str">
        <f>IF(Jugadores!B32="","",IF(Jugadores!B32=$B$3,"",Jugadores!B32))</f>
        <v/>
      </c>
      <c r="B36" s="2" t="str">
        <f>IF($A36="","",COUNTIFS(Partidos!$C:$C,Partidos!$X$2,Partidos!$D:$D,$B$3,Partidos!$E:$E,$A36)+COUNTIFS(Partidos!$C:$C,Partidos!$X$2,Partidos!$D:$D,$A36,Partidos!$E:$E,$B$3)+COUNTIFS(Partidos!$C:$C,Partidos!$X$2,Partidos!$F:$F,$B$3,Partidos!$G:$G,$A36)+COUNTIFS(Partidos!$C:$C,Partidos!$X$2,Partidos!$F:$F,$A36,Partidos!$G:$G,$B$3))</f>
        <v/>
      </c>
      <c r="C36" s="2" t="str">
        <f>IF($A36="","",COUNTIFS(Partidos!$C:$C,Partidos!$X$2,Partidos!$P:$P,"A",Partidos!$D:$D,$B$3,Partidos!$E:$E,$A36)+COUNTIFS(Partidos!$C:$C,Partidos!$X$2,Partidos!$P:$P,"A",Partidos!$D:$D,$A36,Partidos!$E:$E,$B$3)+COUNTIFS(Partidos!$C:$C,Partidos!$X$2,Partidos!$P:$P,"B",Partidos!$F:$F,$B$3,Partidos!$G:$G,$A36)+COUNTIFS(Partidos!$C:$C,Partidos!$X$2,Partidos!$P:$P,"B",Partidos!$F:$F,$A36,Partidos!$G:$G,$B$3))</f>
        <v/>
      </c>
      <c r="D36" s="2" t="str">
        <f t="shared" si="1"/>
        <v/>
      </c>
      <c r="E36" s="45" t="str">
        <f t="shared" si="2"/>
        <v/>
      </c>
      <c r="F36" s="10" t="str">
        <f>IF($A36="","",SUMIFS(Partidos!$Q:$Q,Partidos!$C:$C,Partidos!$X$2,Partidos!$D:$D,$B$3,Partidos!$E:$E,$A36)+SUMIFS(Partidos!$Q:$Q,Partidos!$C:$C,Partidos!$X$2,Partidos!$D:$D,$A36,Partidos!$E:$E,$B$3)+SUMIFS(Partidos!$R:$R,Partidos!$C:$C,Partidos!$X$2,Partidos!$F:$F,$B$3,Partidos!$G:$G,$A36)+SUMIFS(Partidos!$R:$R,Partidos!$C:$C,Partidos!$X$2,Partidos!$F:$F,$A36,Partidos!$G:$G,$B$3))</f>
        <v/>
      </c>
      <c r="G36" s="10" t="str">
        <f>IF($A36="","",SUMIFS(Partidos!$R:$R,Partidos!$C:$C,Partidos!$X$2,Partidos!$D:$D,$B$3,Partidos!$E:$E,$A36)+SUMIFS(Partidos!$R:$R,Partidos!$C:$C,Partidos!$X$2,Partidos!$D:$D,$A36,Partidos!$E:$E,$B$3)+SUMIFS(Partidos!$Q:$Q,Partidos!$C:$C,Partidos!$X$2,Partidos!$F:$F,$B$3,Partidos!$G:$G,$A36)+SUMIFS(Partidos!$Q:$Q,Partidos!$C:$C,Partidos!$X$2,Partidos!$F:$F,$A36,Partidos!$G:$G,$B$3))</f>
        <v/>
      </c>
      <c r="H36" s="10" t="str">
        <f t="shared" si="3"/>
        <v/>
      </c>
      <c r="I36" s="10" t="str">
        <f>IF($A36="","",IF($A36="","",SUMIFS(Partidos!$N:$N,Partidos!$C:$C,Partidos!$X$2,Partidos!$D:$D,$B$3,Partidos!$E:$E,$A36)+SUMIFS(Partidos!$N:$N,Partidos!$C:$C,Partidos!$X$2,Partidos!$D:$D,$A36,Partidos!$E:$E,$B$3)+SUMIFS(Partidos!$O:$O,Partidos!$C:$C,Partidos!$X$2,Partidos!$F:$F,$B$3,Partidos!$G:$G,$A36)+SUMIFS(Partidos!$O:$O,Partidos!$C:$C,Partidos!$X$2,Partidos!$F:$F,$A36,Partidos!$G:$G,$B$3)))</f>
        <v/>
      </c>
      <c r="J36" s="10" t="str">
        <f>IF($A36="","",IF($A36="","",SUMIFS(Partidos!$O:$O,Partidos!$C:$C,Partidos!$X$2,Partidos!$D:$D,$B$3,Partidos!$E:$E,$A36)+SUMIFS(Partidos!$O:$O,Partidos!$C:$C,Partidos!$X$2,Partidos!$D:$D,$A36,Partidos!$E:$E,$B$3)+SUMIFS(Partidos!$N:$N,Partidos!$C:$C,Partidos!$X$2,Partidos!$F:$F,$B$3,Partidos!$G:$G,$A36)+SUMIFS(Partidos!$N:$N,Partidos!$C:$C,Partidos!$X$2,Partidos!$F:$F,$A36,Partidos!$G:$G,$B$3)))</f>
        <v/>
      </c>
      <c r="K36" s="10" t="str">
        <f t="shared" si="4"/>
        <v/>
      </c>
      <c r="L36" t="str">
        <f t="shared" si="5"/>
        <v/>
      </c>
      <c r="T36" t="str">
        <f t="shared" si="0"/>
        <v/>
      </c>
    </row>
    <row r="37" spans="1:20" x14ac:dyDescent="0.3">
      <c r="A37" s="9" t="str">
        <f>IF(Jugadores!B33="","",IF(Jugadores!B33=$B$3,"",Jugadores!B33))</f>
        <v/>
      </c>
      <c r="B37" s="2" t="str">
        <f>IF($A37="","",COUNTIFS(Partidos!$C:$C,Partidos!$X$2,Partidos!$D:$D,$B$3,Partidos!$E:$E,$A37)+COUNTIFS(Partidos!$C:$C,Partidos!$X$2,Partidos!$D:$D,$A37,Partidos!$E:$E,$B$3)+COUNTIFS(Partidos!$C:$C,Partidos!$X$2,Partidos!$F:$F,$B$3,Partidos!$G:$G,$A37)+COUNTIFS(Partidos!$C:$C,Partidos!$X$2,Partidos!$F:$F,$A37,Partidos!$G:$G,$B$3))</f>
        <v/>
      </c>
      <c r="C37" s="2" t="str">
        <f>IF($A37="","",COUNTIFS(Partidos!$C:$C,Partidos!$X$2,Partidos!$P:$P,"A",Partidos!$D:$D,$B$3,Partidos!$E:$E,$A37)+COUNTIFS(Partidos!$C:$C,Partidos!$X$2,Partidos!$P:$P,"A",Partidos!$D:$D,$A37,Partidos!$E:$E,$B$3)+COUNTIFS(Partidos!$C:$C,Partidos!$X$2,Partidos!$P:$P,"B",Partidos!$F:$F,$B$3,Partidos!$G:$G,$A37)+COUNTIFS(Partidos!$C:$C,Partidos!$X$2,Partidos!$P:$P,"B",Partidos!$F:$F,$A37,Partidos!$G:$G,$B$3))</f>
        <v/>
      </c>
      <c r="D37" s="2" t="str">
        <f t="shared" si="1"/>
        <v/>
      </c>
      <c r="E37" s="45" t="str">
        <f t="shared" si="2"/>
        <v/>
      </c>
      <c r="F37" s="10" t="str">
        <f>IF($A37="","",SUMIFS(Partidos!$Q:$Q,Partidos!$C:$C,Partidos!$X$2,Partidos!$D:$D,$B$3,Partidos!$E:$E,$A37)+SUMIFS(Partidos!$Q:$Q,Partidos!$C:$C,Partidos!$X$2,Partidos!$D:$D,$A37,Partidos!$E:$E,$B$3)+SUMIFS(Partidos!$R:$R,Partidos!$C:$C,Partidos!$X$2,Partidos!$F:$F,$B$3,Partidos!$G:$G,$A37)+SUMIFS(Partidos!$R:$R,Partidos!$C:$C,Partidos!$X$2,Partidos!$F:$F,$A37,Partidos!$G:$G,$B$3))</f>
        <v/>
      </c>
      <c r="G37" s="10" t="str">
        <f>IF($A37="","",SUMIFS(Partidos!$R:$R,Partidos!$C:$C,Partidos!$X$2,Partidos!$D:$D,$B$3,Partidos!$E:$E,$A37)+SUMIFS(Partidos!$R:$R,Partidos!$C:$C,Partidos!$X$2,Partidos!$D:$D,$A37,Partidos!$E:$E,$B$3)+SUMIFS(Partidos!$Q:$Q,Partidos!$C:$C,Partidos!$X$2,Partidos!$F:$F,$B$3,Partidos!$G:$G,$A37)+SUMIFS(Partidos!$Q:$Q,Partidos!$C:$C,Partidos!$X$2,Partidos!$F:$F,$A37,Partidos!$G:$G,$B$3))</f>
        <v/>
      </c>
      <c r="H37" s="10" t="str">
        <f t="shared" si="3"/>
        <v/>
      </c>
      <c r="I37" s="10" t="str">
        <f>IF($A37="","",IF($A37="","",SUMIFS(Partidos!$N:$N,Partidos!$C:$C,Partidos!$X$2,Partidos!$D:$D,$B$3,Partidos!$E:$E,$A37)+SUMIFS(Partidos!$N:$N,Partidos!$C:$C,Partidos!$X$2,Partidos!$D:$D,$A37,Partidos!$E:$E,$B$3)+SUMIFS(Partidos!$O:$O,Partidos!$C:$C,Partidos!$X$2,Partidos!$F:$F,$B$3,Partidos!$G:$G,$A37)+SUMIFS(Partidos!$O:$O,Partidos!$C:$C,Partidos!$X$2,Partidos!$F:$F,$A37,Partidos!$G:$G,$B$3)))</f>
        <v/>
      </c>
      <c r="J37" s="10" t="str">
        <f>IF($A37="","",IF($A37="","",SUMIFS(Partidos!$O:$O,Partidos!$C:$C,Partidos!$X$2,Partidos!$D:$D,$B$3,Partidos!$E:$E,$A37)+SUMIFS(Partidos!$O:$O,Partidos!$C:$C,Partidos!$X$2,Partidos!$D:$D,$A37,Partidos!$E:$E,$B$3)+SUMIFS(Partidos!$N:$N,Partidos!$C:$C,Partidos!$X$2,Partidos!$F:$F,$B$3,Partidos!$G:$G,$A37)+SUMIFS(Partidos!$N:$N,Partidos!$C:$C,Partidos!$X$2,Partidos!$F:$F,$A37,Partidos!$G:$G,$B$3)))</f>
        <v/>
      </c>
      <c r="K37" s="10" t="str">
        <f t="shared" si="4"/>
        <v/>
      </c>
      <c r="L37" t="str">
        <f t="shared" si="5"/>
        <v/>
      </c>
      <c r="T37" t="str">
        <f t="shared" si="0"/>
        <v/>
      </c>
    </row>
    <row r="38" spans="1:20" x14ac:dyDescent="0.3">
      <c r="A38" s="9" t="str">
        <f>IF(Jugadores!B34="","",IF(Jugadores!B34=$B$3,"",Jugadores!B34))</f>
        <v/>
      </c>
      <c r="B38" s="2" t="str">
        <f>IF($A38="","",COUNTIFS(Partidos!$C:$C,Partidos!$X$2,Partidos!$D:$D,$B$3,Partidos!$E:$E,$A38)+COUNTIFS(Partidos!$C:$C,Partidos!$X$2,Partidos!$D:$D,$A38,Partidos!$E:$E,$B$3)+COUNTIFS(Partidos!$C:$C,Partidos!$X$2,Partidos!$F:$F,$B$3,Partidos!$G:$G,$A38)+COUNTIFS(Partidos!$C:$C,Partidos!$X$2,Partidos!$F:$F,$A38,Partidos!$G:$G,$B$3))</f>
        <v/>
      </c>
      <c r="C38" s="2" t="str">
        <f>IF($A38="","",COUNTIFS(Partidos!$C:$C,Partidos!$X$2,Partidos!$P:$P,"A",Partidos!$D:$D,$B$3,Partidos!$E:$E,$A38)+COUNTIFS(Partidos!$C:$C,Partidos!$X$2,Partidos!$P:$P,"A",Partidos!$D:$D,$A38,Partidos!$E:$E,$B$3)+COUNTIFS(Partidos!$C:$C,Partidos!$X$2,Partidos!$P:$P,"B",Partidos!$F:$F,$B$3,Partidos!$G:$G,$A38)+COUNTIFS(Partidos!$C:$C,Partidos!$X$2,Partidos!$P:$P,"B",Partidos!$F:$F,$A38,Partidos!$G:$G,$B$3))</f>
        <v/>
      </c>
      <c r="D38" s="2" t="str">
        <f t="shared" ref="D38:D69" si="6">IF($A38="","",B38-C38)</f>
        <v/>
      </c>
      <c r="E38" s="45" t="str">
        <f t="shared" si="2"/>
        <v/>
      </c>
      <c r="F38" s="10" t="str">
        <f>IF($A38="","",SUMIFS(Partidos!$Q:$Q,Partidos!$C:$C,Partidos!$X$2,Partidos!$D:$D,$B$3,Partidos!$E:$E,$A38)+SUMIFS(Partidos!$Q:$Q,Partidos!$C:$C,Partidos!$X$2,Partidos!$D:$D,$A38,Partidos!$E:$E,$B$3)+SUMIFS(Partidos!$R:$R,Partidos!$C:$C,Partidos!$X$2,Partidos!$F:$F,$B$3,Partidos!$G:$G,$A38)+SUMIFS(Partidos!$R:$R,Partidos!$C:$C,Partidos!$X$2,Partidos!$F:$F,$A38,Partidos!$G:$G,$B$3))</f>
        <v/>
      </c>
      <c r="G38" s="10" t="str">
        <f>IF($A38="","",SUMIFS(Partidos!$R:$R,Partidos!$C:$C,Partidos!$X$2,Partidos!$D:$D,$B$3,Partidos!$E:$E,$A38)+SUMIFS(Partidos!$R:$R,Partidos!$C:$C,Partidos!$X$2,Partidos!$D:$D,$A38,Partidos!$E:$E,$B$3)+SUMIFS(Partidos!$Q:$Q,Partidos!$C:$C,Partidos!$X$2,Partidos!$F:$F,$B$3,Partidos!$G:$G,$A38)+SUMIFS(Partidos!$Q:$Q,Partidos!$C:$C,Partidos!$X$2,Partidos!$F:$F,$A38,Partidos!$G:$G,$B$3))</f>
        <v/>
      </c>
      <c r="H38" s="10" t="str">
        <f t="shared" ref="H38:H69" si="7">IF($A38="","",F38-G38)</f>
        <v/>
      </c>
      <c r="I38" s="10" t="str">
        <f>IF($A38="","",IF($A38="","",SUMIFS(Partidos!$N:$N,Partidos!$C:$C,Partidos!$X$2,Partidos!$D:$D,$B$3,Partidos!$E:$E,$A38)+SUMIFS(Partidos!$N:$N,Partidos!$C:$C,Partidos!$X$2,Partidos!$D:$D,$A38,Partidos!$E:$E,$B$3)+SUMIFS(Partidos!$O:$O,Partidos!$C:$C,Partidos!$X$2,Partidos!$F:$F,$B$3,Partidos!$G:$G,$A38)+SUMIFS(Partidos!$O:$O,Partidos!$C:$C,Partidos!$X$2,Partidos!$F:$F,$A38,Partidos!$G:$G,$B$3)))</f>
        <v/>
      </c>
      <c r="J38" s="10" t="str">
        <f>IF($A38="","",IF($A38="","",SUMIFS(Partidos!$O:$O,Partidos!$C:$C,Partidos!$X$2,Partidos!$D:$D,$B$3,Partidos!$E:$E,$A38)+SUMIFS(Partidos!$O:$O,Partidos!$C:$C,Partidos!$X$2,Partidos!$D:$D,$A38,Partidos!$E:$E,$B$3)+SUMIFS(Partidos!$N:$N,Partidos!$C:$C,Partidos!$X$2,Partidos!$F:$F,$B$3,Partidos!$G:$G,$A38)+SUMIFS(Partidos!$N:$N,Partidos!$C:$C,Partidos!$X$2,Partidos!$F:$F,$A38,Partidos!$G:$G,$B$3)))</f>
        <v/>
      </c>
      <c r="K38" s="10" t="str">
        <f t="shared" ref="K38:K69" si="8">IF($A38="","",I38-J38)</f>
        <v/>
      </c>
      <c r="L38" t="str">
        <f t="shared" ref="L38:L65" si="9">IF($A38="","",RANK($B38,$B$6:$B$65,0)+COUNTIFS($B$6:$B$65,$B38,$A$6:$A$65,"&gt;"&amp;$A38))</f>
        <v/>
      </c>
      <c r="T38" t="str">
        <f t="shared" ref="T38:T65" si="10">IF(OR($A38="", $B38=0),"",RANK($E38,$E$6:$E$65,0)+COUNTIFS($E$6:$E$65,$E38,$B$6:$B$65,"&gt;"&amp;$B38)+COUNTIFS($E$6:$E$65,$E38,$B$6:$B$65,$B38,$A$6:$A$65,"&gt;"&amp;$A38))</f>
        <v/>
      </c>
    </row>
    <row r="39" spans="1:20" x14ac:dyDescent="0.3">
      <c r="A39" s="9" t="str">
        <f>IF(Jugadores!B35="","",IF(Jugadores!B35=$B$3,"",Jugadores!B35))</f>
        <v/>
      </c>
      <c r="B39" s="2" t="str">
        <f>IF($A39="","",COUNTIFS(Partidos!$C:$C,Partidos!$X$2,Partidos!$D:$D,$B$3,Partidos!$E:$E,$A39)+COUNTIFS(Partidos!$C:$C,Partidos!$X$2,Partidos!$D:$D,$A39,Partidos!$E:$E,$B$3)+COUNTIFS(Partidos!$C:$C,Partidos!$X$2,Partidos!$F:$F,$B$3,Partidos!$G:$G,$A39)+COUNTIFS(Partidos!$C:$C,Partidos!$X$2,Partidos!$F:$F,$A39,Partidos!$G:$G,$B$3))</f>
        <v/>
      </c>
      <c r="C39" s="2" t="str">
        <f>IF($A39="","",COUNTIFS(Partidos!$C:$C,Partidos!$X$2,Partidos!$P:$P,"A",Partidos!$D:$D,$B$3,Partidos!$E:$E,$A39)+COUNTIFS(Partidos!$C:$C,Partidos!$X$2,Partidos!$P:$P,"A",Partidos!$D:$D,$A39,Partidos!$E:$E,$B$3)+COUNTIFS(Partidos!$C:$C,Partidos!$X$2,Partidos!$P:$P,"B",Partidos!$F:$F,$B$3,Partidos!$G:$G,$A39)+COUNTIFS(Partidos!$C:$C,Partidos!$X$2,Partidos!$P:$P,"B",Partidos!$F:$F,$A39,Partidos!$G:$G,$B$3))</f>
        <v/>
      </c>
      <c r="D39" s="2" t="str">
        <f t="shared" si="6"/>
        <v/>
      </c>
      <c r="E39" s="45" t="str">
        <f t="shared" si="2"/>
        <v/>
      </c>
      <c r="F39" s="10" t="str">
        <f>IF($A39="","",SUMIFS(Partidos!$Q:$Q,Partidos!$C:$C,Partidos!$X$2,Partidos!$D:$D,$B$3,Partidos!$E:$E,$A39)+SUMIFS(Partidos!$Q:$Q,Partidos!$C:$C,Partidos!$X$2,Partidos!$D:$D,$A39,Partidos!$E:$E,$B$3)+SUMIFS(Partidos!$R:$R,Partidos!$C:$C,Partidos!$X$2,Partidos!$F:$F,$B$3,Partidos!$G:$G,$A39)+SUMIFS(Partidos!$R:$R,Partidos!$C:$C,Partidos!$X$2,Partidos!$F:$F,$A39,Partidos!$G:$G,$B$3))</f>
        <v/>
      </c>
      <c r="G39" s="10" t="str">
        <f>IF($A39="","",SUMIFS(Partidos!$R:$R,Partidos!$C:$C,Partidos!$X$2,Partidos!$D:$D,$B$3,Partidos!$E:$E,$A39)+SUMIFS(Partidos!$R:$R,Partidos!$C:$C,Partidos!$X$2,Partidos!$D:$D,$A39,Partidos!$E:$E,$B$3)+SUMIFS(Partidos!$Q:$Q,Partidos!$C:$C,Partidos!$X$2,Partidos!$F:$F,$B$3,Partidos!$G:$G,$A39)+SUMIFS(Partidos!$Q:$Q,Partidos!$C:$C,Partidos!$X$2,Partidos!$F:$F,$A39,Partidos!$G:$G,$B$3))</f>
        <v/>
      </c>
      <c r="H39" s="10" t="str">
        <f t="shared" si="7"/>
        <v/>
      </c>
      <c r="I39" s="10" t="str">
        <f>IF($A39="","",IF($A39="","",SUMIFS(Partidos!$N:$N,Partidos!$C:$C,Partidos!$X$2,Partidos!$D:$D,$B$3,Partidos!$E:$E,$A39)+SUMIFS(Partidos!$N:$N,Partidos!$C:$C,Partidos!$X$2,Partidos!$D:$D,$A39,Partidos!$E:$E,$B$3)+SUMIFS(Partidos!$O:$O,Partidos!$C:$C,Partidos!$X$2,Partidos!$F:$F,$B$3,Partidos!$G:$G,$A39)+SUMIFS(Partidos!$O:$O,Partidos!$C:$C,Partidos!$X$2,Partidos!$F:$F,$A39,Partidos!$G:$G,$B$3)))</f>
        <v/>
      </c>
      <c r="J39" s="10" t="str">
        <f>IF($A39="","",IF($A39="","",SUMIFS(Partidos!$O:$O,Partidos!$C:$C,Partidos!$X$2,Partidos!$D:$D,$B$3,Partidos!$E:$E,$A39)+SUMIFS(Partidos!$O:$O,Partidos!$C:$C,Partidos!$X$2,Partidos!$D:$D,$A39,Partidos!$E:$E,$B$3)+SUMIFS(Partidos!$N:$N,Partidos!$C:$C,Partidos!$X$2,Partidos!$F:$F,$B$3,Partidos!$G:$G,$A39)+SUMIFS(Partidos!$N:$N,Partidos!$C:$C,Partidos!$X$2,Partidos!$F:$F,$A39,Partidos!$G:$G,$B$3)))</f>
        <v/>
      </c>
      <c r="K39" s="10" t="str">
        <f t="shared" si="8"/>
        <v/>
      </c>
      <c r="L39" t="str">
        <f t="shared" si="9"/>
        <v/>
      </c>
      <c r="T39" t="str">
        <f t="shared" si="10"/>
        <v/>
      </c>
    </row>
    <row r="40" spans="1:20" x14ac:dyDescent="0.3">
      <c r="A40" s="9" t="str">
        <f>IF(Jugadores!B36="","",IF(Jugadores!B36=$B$3,"",Jugadores!B36))</f>
        <v/>
      </c>
      <c r="B40" s="2" t="str">
        <f>IF($A40="","",COUNTIFS(Partidos!$C:$C,Partidos!$X$2,Partidos!$D:$D,$B$3,Partidos!$E:$E,$A40)+COUNTIFS(Partidos!$C:$C,Partidos!$X$2,Partidos!$D:$D,$A40,Partidos!$E:$E,$B$3)+COUNTIFS(Partidos!$C:$C,Partidos!$X$2,Partidos!$F:$F,$B$3,Partidos!$G:$G,$A40)+COUNTIFS(Partidos!$C:$C,Partidos!$X$2,Partidos!$F:$F,$A40,Partidos!$G:$G,$B$3))</f>
        <v/>
      </c>
      <c r="C40" s="2" t="str">
        <f>IF($A40="","",COUNTIFS(Partidos!$C:$C,Partidos!$X$2,Partidos!$P:$P,"A",Partidos!$D:$D,$B$3,Partidos!$E:$E,$A40)+COUNTIFS(Partidos!$C:$C,Partidos!$X$2,Partidos!$P:$P,"A",Partidos!$D:$D,$A40,Partidos!$E:$E,$B$3)+COUNTIFS(Partidos!$C:$C,Partidos!$X$2,Partidos!$P:$P,"B",Partidos!$F:$F,$B$3,Partidos!$G:$G,$A40)+COUNTIFS(Partidos!$C:$C,Partidos!$X$2,Partidos!$P:$P,"B",Partidos!$F:$F,$A40,Partidos!$G:$G,$B$3))</f>
        <v/>
      </c>
      <c r="D40" s="2" t="str">
        <f t="shared" si="6"/>
        <v/>
      </c>
      <c r="E40" s="45" t="str">
        <f t="shared" si="2"/>
        <v/>
      </c>
      <c r="F40" s="10" t="str">
        <f>IF($A40="","",SUMIFS(Partidos!$Q:$Q,Partidos!$C:$C,Partidos!$X$2,Partidos!$D:$D,$B$3,Partidos!$E:$E,$A40)+SUMIFS(Partidos!$Q:$Q,Partidos!$C:$C,Partidos!$X$2,Partidos!$D:$D,$A40,Partidos!$E:$E,$B$3)+SUMIFS(Partidos!$R:$R,Partidos!$C:$C,Partidos!$X$2,Partidos!$F:$F,$B$3,Partidos!$G:$G,$A40)+SUMIFS(Partidos!$R:$R,Partidos!$C:$C,Partidos!$X$2,Partidos!$F:$F,$A40,Partidos!$G:$G,$B$3))</f>
        <v/>
      </c>
      <c r="G40" s="10" t="str">
        <f>IF($A40="","",SUMIFS(Partidos!$R:$R,Partidos!$C:$C,Partidos!$X$2,Partidos!$D:$D,$B$3,Partidos!$E:$E,$A40)+SUMIFS(Partidos!$R:$R,Partidos!$C:$C,Partidos!$X$2,Partidos!$D:$D,$A40,Partidos!$E:$E,$B$3)+SUMIFS(Partidos!$Q:$Q,Partidos!$C:$C,Partidos!$X$2,Partidos!$F:$F,$B$3,Partidos!$G:$G,$A40)+SUMIFS(Partidos!$Q:$Q,Partidos!$C:$C,Partidos!$X$2,Partidos!$F:$F,$A40,Partidos!$G:$G,$B$3))</f>
        <v/>
      </c>
      <c r="H40" s="10" t="str">
        <f t="shared" si="7"/>
        <v/>
      </c>
      <c r="I40" s="10" t="str">
        <f>IF($A40="","",IF($A40="","",SUMIFS(Partidos!$N:$N,Partidos!$C:$C,Partidos!$X$2,Partidos!$D:$D,$B$3,Partidos!$E:$E,$A40)+SUMIFS(Partidos!$N:$N,Partidos!$C:$C,Partidos!$X$2,Partidos!$D:$D,$A40,Partidos!$E:$E,$B$3)+SUMIFS(Partidos!$O:$O,Partidos!$C:$C,Partidos!$X$2,Partidos!$F:$F,$B$3,Partidos!$G:$G,$A40)+SUMIFS(Partidos!$O:$O,Partidos!$C:$C,Partidos!$X$2,Partidos!$F:$F,$A40,Partidos!$G:$G,$B$3)))</f>
        <v/>
      </c>
      <c r="J40" s="10" t="str">
        <f>IF($A40="","",IF($A40="","",SUMIFS(Partidos!$O:$O,Partidos!$C:$C,Partidos!$X$2,Partidos!$D:$D,$B$3,Partidos!$E:$E,$A40)+SUMIFS(Partidos!$O:$O,Partidos!$C:$C,Partidos!$X$2,Partidos!$D:$D,$A40,Partidos!$E:$E,$B$3)+SUMIFS(Partidos!$N:$N,Partidos!$C:$C,Partidos!$X$2,Partidos!$F:$F,$B$3,Partidos!$G:$G,$A40)+SUMIFS(Partidos!$N:$N,Partidos!$C:$C,Partidos!$X$2,Partidos!$F:$F,$A40,Partidos!$G:$G,$B$3)))</f>
        <v/>
      </c>
      <c r="K40" s="10" t="str">
        <f t="shared" si="8"/>
        <v/>
      </c>
      <c r="L40" t="str">
        <f t="shared" si="9"/>
        <v/>
      </c>
      <c r="T40" t="str">
        <f t="shared" si="10"/>
        <v/>
      </c>
    </row>
    <row r="41" spans="1:20" x14ac:dyDescent="0.3">
      <c r="A41" s="9" t="str">
        <f>IF(Jugadores!B37="","",IF(Jugadores!B37=$B$3,"",Jugadores!B37))</f>
        <v/>
      </c>
      <c r="B41" s="2" t="str">
        <f>IF($A41="","",COUNTIFS(Partidos!$C:$C,Partidos!$X$2,Partidos!$D:$D,$B$3,Partidos!$E:$E,$A41)+COUNTIFS(Partidos!$C:$C,Partidos!$X$2,Partidos!$D:$D,$A41,Partidos!$E:$E,$B$3)+COUNTIFS(Partidos!$C:$C,Partidos!$X$2,Partidos!$F:$F,$B$3,Partidos!$G:$G,$A41)+COUNTIFS(Partidos!$C:$C,Partidos!$X$2,Partidos!$F:$F,$A41,Partidos!$G:$G,$B$3))</f>
        <v/>
      </c>
      <c r="C41" s="2" t="str">
        <f>IF($A41="","",COUNTIFS(Partidos!$C:$C,Partidos!$X$2,Partidos!$P:$P,"A",Partidos!$D:$D,$B$3,Partidos!$E:$E,$A41)+COUNTIFS(Partidos!$C:$C,Partidos!$X$2,Partidos!$P:$P,"A",Partidos!$D:$D,$A41,Partidos!$E:$E,$B$3)+COUNTIFS(Partidos!$C:$C,Partidos!$X$2,Partidos!$P:$P,"B",Partidos!$F:$F,$B$3,Partidos!$G:$G,$A41)+COUNTIFS(Partidos!$C:$C,Partidos!$X$2,Partidos!$P:$P,"B",Partidos!$F:$F,$A41,Partidos!$G:$G,$B$3))</f>
        <v/>
      </c>
      <c r="D41" s="2" t="str">
        <f t="shared" si="6"/>
        <v/>
      </c>
      <c r="E41" s="45" t="str">
        <f t="shared" si="2"/>
        <v/>
      </c>
      <c r="F41" s="10" t="str">
        <f>IF($A41="","",SUMIFS(Partidos!$Q:$Q,Partidos!$C:$C,Partidos!$X$2,Partidos!$D:$D,$B$3,Partidos!$E:$E,$A41)+SUMIFS(Partidos!$Q:$Q,Partidos!$C:$C,Partidos!$X$2,Partidos!$D:$D,$A41,Partidos!$E:$E,$B$3)+SUMIFS(Partidos!$R:$R,Partidos!$C:$C,Partidos!$X$2,Partidos!$F:$F,$B$3,Partidos!$G:$G,$A41)+SUMIFS(Partidos!$R:$R,Partidos!$C:$C,Partidos!$X$2,Partidos!$F:$F,$A41,Partidos!$G:$G,$B$3))</f>
        <v/>
      </c>
      <c r="G41" s="10" t="str">
        <f>IF($A41="","",SUMIFS(Partidos!$R:$R,Partidos!$C:$C,Partidos!$X$2,Partidos!$D:$D,$B$3,Partidos!$E:$E,$A41)+SUMIFS(Partidos!$R:$R,Partidos!$C:$C,Partidos!$X$2,Partidos!$D:$D,$A41,Partidos!$E:$E,$B$3)+SUMIFS(Partidos!$Q:$Q,Partidos!$C:$C,Partidos!$X$2,Partidos!$F:$F,$B$3,Partidos!$G:$G,$A41)+SUMIFS(Partidos!$Q:$Q,Partidos!$C:$C,Partidos!$X$2,Partidos!$F:$F,$A41,Partidos!$G:$G,$B$3))</f>
        <v/>
      </c>
      <c r="H41" s="10" t="str">
        <f t="shared" si="7"/>
        <v/>
      </c>
      <c r="I41" s="10" t="str">
        <f>IF($A41="","",IF($A41="","",SUMIFS(Partidos!$N:$N,Partidos!$C:$C,Partidos!$X$2,Partidos!$D:$D,$B$3,Partidos!$E:$E,$A41)+SUMIFS(Partidos!$N:$N,Partidos!$C:$C,Partidos!$X$2,Partidos!$D:$D,$A41,Partidos!$E:$E,$B$3)+SUMIFS(Partidos!$O:$O,Partidos!$C:$C,Partidos!$X$2,Partidos!$F:$F,$B$3,Partidos!$G:$G,$A41)+SUMIFS(Partidos!$O:$O,Partidos!$C:$C,Partidos!$X$2,Partidos!$F:$F,$A41,Partidos!$G:$G,$B$3)))</f>
        <v/>
      </c>
      <c r="J41" s="10" t="str">
        <f>IF($A41="","",IF($A41="","",SUMIFS(Partidos!$O:$O,Partidos!$C:$C,Partidos!$X$2,Partidos!$D:$D,$B$3,Partidos!$E:$E,$A41)+SUMIFS(Partidos!$O:$O,Partidos!$C:$C,Partidos!$X$2,Partidos!$D:$D,$A41,Partidos!$E:$E,$B$3)+SUMIFS(Partidos!$N:$N,Partidos!$C:$C,Partidos!$X$2,Partidos!$F:$F,$B$3,Partidos!$G:$G,$A41)+SUMIFS(Partidos!$N:$N,Partidos!$C:$C,Partidos!$X$2,Partidos!$F:$F,$A41,Partidos!$G:$G,$B$3)))</f>
        <v/>
      </c>
      <c r="K41" s="10" t="str">
        <f t="shared" si="8"/>
        <v/>
      </c>
      <c r="L41" t="str">
        <f t="shared" si="9"/>
        <v/>
      </c>
      <c r="T41" t="str">
        <f t="shared" si="10"/>
        <v/>
      </c>
    </row>
    <row r="42" spans="1:20" x14ac:dyDescent="0.3">
      <c r="A42" s="9" t="str">
        <f>IF(Jugadores!B38="","",IF(Jugadores!B38=$B$3,"",Jugadores!B38))</f>
        <v/>
      </c>
      <c r="B42" s="2" t="str">
        <f>IF($A42="","",COUNTIFS(Partidos!$C:$C,Partidos!$X$2,Partidos!$D:$D,$B$3,Partidos!$E:$E,$A42)+COUNTIFS(Partidos!$C:$C,Partidos!$X$2,Partidos!$D:$D,$A42,Partidos!$E:$E,$B$3)+COUNTIFS(Partidos!$C:$C,Partidos!$X$2,Partidos!$F:$F,$B$3,Partidos!$G:$G,$A42)+COUNTIFS(Partidos!$C:$C,Partidos!$X$2,Partidos!$F:$F,$A42,Partidos!$G:$G,$B$3))</f>
        <v/>
      </c>
      <c r="C42" s="2" t="str">
        <f>IF($A42="","",COUNTIFS(Partidos!$C:$C,Partidos!$X$2,Partidos!$P:$P,"A",Partidos!$D:$D,$B$3,Partidos!$E:$E,$A42)+COUNTIFS(Partidos!$C:$C,Partidos!$X$2,Partidos!$P:$P,"A",Partidos!$D:$D,$A42,Partidos!$E:$E,$B$3)+COUNTIFS(Partidos!$C:$C,Partidos!$X$2,Partidos!$P:$P,"B",Partidos!$F:$F,$B$3,Partidos!$G:$G,$A42)+COUNTIFS(Partidos!$C:$C,Partidos!$X$2,Partidos!$P:$P,"B",Partidos!$F:$F,$A42,Partidos!$G:$G,$B$3))</f>
        <v/>
      </c>
      <c r="D42" s="2" t="str">
        <f t="shared" si="6"/>
        <v/>
      </c>
      <c r="E42" s="45" t="str">
        <f t="shared" si="2"/>
        <v/>
      </c>
      <c r="F42" s="10" t="str">
        <f>IF($A42="","",SUMIFS(Partidos!$Q:$Q,Partidos!$C:$C,Partidos!$X$2,Partidos!$D:$D,$B$3,Partidos!$E:$E,$A42)+SUMIFS(Partidos!$Q:$Q,Partidos!$C:$C,Partidos!$X$2,Partidos!$D:$D,$A42,Partidos!$E:$E,$B$3)+SUMIFS(Partidos!$R:$R,Partidos!$C:$C,Partidos!$X$2,Partidos!$F:$F,$B$3,Partidos!$G:$G,$A42)+SUMIFS(Partidos!$R:$R,Partidos!$C:$C,Partidos!$X$2,Partidos!$F:$F,$A42,Partidos!$G:$G,$B$3))</f>
        <v/>
      </c>
      <c r="G42" s="10" t="str">
        <f>IF($A42="","",SUMIFS(Partidos!$R:$R,Partidos!$C:$C,Partidos!$X$2,Partidos!$D:$D,$B$3,Partidos!$E:$E,$A42)+SUMIFS(Partidos!$R:$R,Partidos!$C:$C,Partidos!$X$2,Partidos!$D:$D,$A42,Partidos!$E:$E,$B$3)+SUMIFS(Partidos!$Q:$Q,Partidos!$C:$C,Partidos!$X$2,Partidos!$F:$F,$B$3,Partidos!$G:$G,$A42)+SUMIFS(Partidos!$Q:$Q,Partidos!$C:$C,Partidos!$X$2,Partidos!$F:$F,$A42,Partidos!$G:$G,$B$3))</f>
        <v/>
      </c>
      <c r="H42" s="10" t="str">
        <f t="shared" si="7"/>
        <v/>
      </c>
      <c r="I42" s="10" t="str">
        <f>IF($A42="","",IF($A42="","",SUMIFS(Partidos!$N:$N,Partidos!$C:$C,Partidos!$X$2,Partidos!$D:$D,$B$3,Partidos!$E:$E,$A42)+SUMIFS(Partidos!$N:$N,Partidos!$C:$C,Partidos!$X$2,Partidos!$D:$D,$A42,Partidos!$E:$E,$B$3)+SUMIFS(Partidos!$O:$O,Partidos!$C:$C,Partidos!$X$2,Partidos!$F:$F,$B$3,Partidos!$G:$G,$A42)+SUMIFS(Partidos!$O:$O,Partidos!$C:$C,Partidos!$X$2,Partidos!$F:$F,$A42,Partidos!$G:$G,$B$3)))</f>
        <v/>
      </c>
      <c r="J42" s="10" t="str">
        <f>IF($A42="","",IF($A42="","",SUMIFS(Partidos!$O:$O,Partidos!$C:$C,Partidos!$X$2,Partidos!$D:$D,$B$3,Partidos!$E:$E,$A42)+SUMIFS(Partidos!$O:$O,Partidos!$C:$C,Partidos!$X$2,Partidos!$D:$D,$A42,Partidos!$E:$E,$B$3)+SUMIFS(Partidos!$N:$N,Partidos!$C:$C,Partidos!$X$2,Partidos!$F:$F,$B$3,Partidos!$G:$G,$A42)+SUMIFS(Partidos!$N:$N,Partidos!$C:$C,Partidos!$X$2,Partidos!$F:$F,$A42,Partidos!$G:$G,$B$3)))</f>
        <v/>
      </c>
      <c r="K42" s="10" t="str">
        <f t="shared" si="8"/>
        <v/>
      </c>
      <c r="L42" t="str">
        <f t="shared" si="9"/>
        <v/>
      </c>
      <c r="T42" t="str">
        <f t="shared" si="10"/>
        <v/>
      </c>
    </row>
    <row r="43" spans="1:20" x14ac:dyDescent="0.3">
      <c r="A43" s="9" t="str">
        <f>IF(Jugadores!B39="","",IF(Jugadores!B39=$B$3,"",Jugadores!B39))</f>
        <v/>
      </c>
      <c r="B43" s="2" t="str">
        <f>IF($A43="","",COUNTIFS(Partidos!$C:$C,Partidos!$X$2,Partidos!$D:$D,$B$3,Partidos!$E:$E,$A43)+COUNTIFS(Partidos!$C:$C,Partidos!$X$2,Partidos!$D:$D,$A43,Partidos!$E:$E,$B$3)+COUNTIFS(Partidos!$C:$C,Partidos!$X$2,Partidos!$F:$F,$B$3,Partidos!$G:$G,$A43)+COUNTIFS(Partidos!$C:$C,Partidos!$X$2,Partidos!$F:$F,$A43,Partidos!$G:$G,$B$3))</f>
        <v/>
      </c>
      <c r="C43" s="2" t="str">
        <f>IF($A43="","",COUNTIFS(Partidos!$C:$C,Partidos!$X$2,Partidos!$P:$P,"A",Partidos!$D:$D,$B$3,Partidos!$E:$E,$A43)+COUNTIFS(Partidos!$C:$C,Partidos!$X$2,Partidos!$P:$P,"A",Partidos!$D:$D,$A43,Partidos!$E:$E,$B$3)+COUNTIFS(Partidos!$C:$C,Partidos!$X$2,Partidos!$P:$P,"B",Partidos!$F:$F,$B$3,Partidos!$G:$G,$A43)+COUNTIFS(Partidos!$C:$C,Partidos!$X$2,Partidos!$P:$P,"B",Partidos!$F:$F,$A43,Partidos!$G:$G,$B$3))</f>
        <v/>
      </c>
      <c r="D43" s="2" t="str">
        <f t="shared" si="6"/>
        <v/>
      </c>
      <c r="E43" s="45" t="str">
        <f t="shared" si="2"/>
        <v/>
      </c>
      <c r="F43" s="10" t="str">
        <f>IF($A43="","",SUMIFS(Partidos!$Q:$Q,Partidos!$C:$C,Partidos!$X$2,Partidos!$D:$D,$B$3,Partidos!$E:$E,$A43)+SUMIFS(Partidos!$Q:$Q,Partidos!$C:$C,Partidos!$X$2,Partidos!$D:$D,$A43,Partidos!$E:$E,$B$3)+SUMIFS(Partidos!$R:$R,Partidos!$C:$C,Partidos!$X$2,Partidos!$F:$F,$B$3,Partidos!$G:$G,$A43)+SUMIFS(Partidos!$R:$R,Partidos!$C:$C,Partidos!$X$2,Partidos!$F:$F,$A43,Partidos!$G:$G,$B$3))</f>
        <v/>
      </c>
      <c r="G43" s="10" t="str">
        <f>IF($A43="","",SUMIFS(Partidos!$R:$R,Partidos!$C:$C,Partidos!$X$2,Partidos!$D:$D,$B$3,Partidos!$E:$E,$A43)+SUMIFS(Partidos!$R:$R,Partidos!$C:$C,Partidos!$X$2,Partidos!$D:$D,$A43,Partidos!$E:$E,$B$3)+SUMIFS(Partidos!$Q:$Q,Partidos!$C:$C,Partidos!$X$2,Partidos!$F:$F,$B$3,Partidos!$G:$G,$A43)+SUMIFS(Partidos!$Q:$Q,Partidos!$C:$C,Partidos!$X$2,Partidos!$F:$F,$A43,Partidos!$G:$G,$B$3))</f>
        <v/>
      </c>
      <c r="H43" s="10" t="str">
        <f t="shared" si="7"/>
        <v/>
      </c>
      <c r="I43" s="10" t="str">
        <f>IF($A43="","",IF($A43="","",SUMIFS(Partidos!$N:$N,Partidos!$C:$C,Partidos!$X$2,Partidos!$D:$D,$B$3,Partidos!$E:$E,$A43)+SUMIFS(Partidos!$N:$N,Partidos!$C:$C,Partidos!$X$2,Partidos!$D:$D,$A43,Partidos!$E:$E,$B$3)+SUMIFS(Partidos!$O:$O,Partidos!$C:$C,Partidos!$X$2,Partidos!$F:$F,$B$3,Partidos!$G:$G,$A43)+SUMIFS(Partidos!$O:$O,Partidos!$C:$C,Partidos!$X$2,Partidos!$F:$F,$A43,Partidos!$G:$G,$B$3)))</f>
        <v/>
      </c>
      <c r="J43" s="10" t="str">
        <f>IF($A43="","",IF($A43="","",SUMIFS(Partidos!$O:$O,Partidos!$C:$C,Partidos!$X$2,Partidos!$D:$D,$B$3,Partidos!$E:$E,$A43)+SUMIFS(Partidos!$O:$O,Partidos!$C:$C,Partidos!$X$2,Partidos!$D:$D,$A43,Partidos!$E:$E,$B$3)+SUMIFS(Partidos!$N:$N,Partidos!$C:$C,Partidos!$X$2,Partidos!$F:$F,$B$3,Partidos!$G:$G,$A43)+SUMIFS(Partidos!$N:$N,Partidos!$C:$C,Partidos!$X$2,Partidos!$F:$F,$A43,Partidos!$G:$G,$B$3)))</f>
        <v/>
      </c>
      <c r="K43" s="10" t="str">
        <f t="shared" si="8"/>
        <v/>
      </c>
      <c r="L43" t="str">
        <f t="shared" si="9"/>
        <v/>
      </c>
      <c r="T43" t="str">
        <f t="shared" si="10"/>
        <v/>
      </c>
    </row>
    <row r="44" spans="1:20" x14ac:dyDescent="0.3">
      <c r="A44" s="9" t="str">
        <f>IF(Jugadores!B40="","",IF(Jugadores!B40=$B$3,"",Jugadores!B40))</f>
        <v/>
      </c>
      <c r="B44" s="2" t="str">
        <f>IF($A44="","",COUNTIFS(Partidos!$C:$C,Partidos!$X$2,Partidos!$D:$D,$B$3,Partidos!$E:$E,$A44)+COUNTIFS(Partidos!$C:$C,Partidos!$X$2,Partidos!$D:$D,$A44,Partidos!$E:$E,$B$3)+COUNTIFS(Partidos!$C:$C,Partidos!$X$2,Partidos!$F:$F,$B$3,Partidos!$G:$G,$A44)+COUNTIFS(Partidos!$C:$C,Partidos!$X$2,Partidos!$F:$F,$A44,Partidos!$G:$G,$B$3))</f>
        <v/>
      </c>
      <c r="C44" s="2" t="str">
        <f>IF($A44="","",COUNTIFS(Partidos!$C:$C,Partidos!$X$2,Partidos!$P:$P,"A",Partidos!$D:$D,$B$3,Partidos!$E:$E,$A44)+COUNTIFS(Partidos!$C:$C,Partidos!$X$2,Partidos!$P:$P,"A",Partidos!$D:$D,$A44,Partidos!$E:$E,$B$3)+COUNTIFS(Partidos!$C:$C,Partidos!$X$2,Partidos!$P:$P,"B",Partidos!$F:$F,$B$3,Partidos!$G:$G,$A44)+COUNTIFS(Partidos!$C:$C,Partidos!$X$2,Partidos!$P:$P,"B",Partidos!$F:$F,$A44,Partidos!$G:$G,$B$3))</f>
        <v/>
      </c>
      <c r="D44" s="2" t="str">
        <f t="shared" si="6"/>
        <v/>
      </c>
      <c r="E44" s="45" t="str">
        <f t="shared" si="2"/>
        <v/>
      </c>
      <c r="F44" s="10" t="str">
        <f>IF($A44="","",SUMIFS(Partidos!$Q:$Q,Partidos!$C:$C,Partidos!$X$2,Partidos!$D:$D,$B$3,Partidos!$E:$E,$A44)+SUMIFS(Partidos!$Q:$Q,Partidos!$C:$C,Partidos!$X$2,Partidos!$D:$D,$A44,Partidos!$E:$E,$B$3)+SUMIFS(Partidos!$R:$R,Partidos!$C:$C,Partidos!$X$2,Partidos!$F:$F,$B$3,Partidos!$G:$G,$A44)+SUMIFS(Partidos!$R:$R,Partidos!$C:$C,Partidos!$X$2,Partidos!$F:$F,$A44,Partidos!$G:$G,$B$3))</f>
        <v/>
      </c>
      <c r="G44" s="10" t="str">
        <f>IF($A44="","",SUMIFS(Partidos!$R:$R,Partidos!$C:$C,Partidos!$X$2,Partidos!$D:$D,$B$3,Partidos!$E:$E,$A44)+SUMIFS(Partidos!$R:$R,Partidos!$C:$C,Partidos!$X$2,Partidos!$D:$D,$A44,Partidos!$E:$E,$B$3)+SUMIFS(Partidos!$Q:$Q,Partidos!$C:$C,Partidos!$X$2,Partidos!$F:$F,$B$3,Partidos!$G:$G,$A44)+SUMIFS(Partidos!$Q:$Q,Partidos!$C:$C,Partidos!$X$2,Partidos!$F:$F,$A44,Partidos!$G:$G,$B$3))</f>
        <v/>
      </c>
      <c r="H44" s="10" t="str">
        <f t="shared" si="7"/>
        <v/>
      </c>
      <c r="I44" s="10" t="str">
        <f>IF($A44="","",IF($A44="","",SUMIFS(Partidos!$N:$N,Partidos!$C:$C,Partidos!$X$2,Partidos!$D:$D,$B$3,Partidos!$E:$E,$A44)+SUMIFS(Partidos!$N:$N,Partidos!$C:$C,Partidos!$X$2,Partidos!$D:$D,$A44,Partidos!$E:$E,$B$3)+SUMIFS(Partidos!$O:$O,Partidos!$C:$C,Partidos!$X$2,Partidos!$F:$F,$B$3,Partidos!$G:$G,$A44)+SUMIFS(Partidos!$O:$O,Partidos!$C:$C,Partidos!$X$2,Partidos!$F:$F,$A44,Partidos!$G:$G,$B$3)))</f>
        <v/>
      </c>
      <c r="J44" s="10" t="str">
        <f>IF($A44="","",IF($A44="","",SUMIFS(Partidos!$O:$O,Partidos!$C:$C,Partidos!$X$2,Partidos!$D:$D,$B$3,Partidos!$E:$E,$A44)+SUMIFS(Partidos!$O:$O,Partidos!$C:$C,Partidos!$X$2,Partidos!$D:$D,$A44,Partidos!$E:$E,$B$3)+SUMIFS(Partidos!$N:$N,Partidos!$C:$C,Partidos!$X$2,Partidos!$F:$F,$B$3,Partidos!$G:$G,$A44)+SUMIFS(Partidos!$N:$N,Partidos!$C:$C,Partidos!$X$2,Partidos!$F:$F,$A44,Partidos!$G:$G,$B$3)))</f>
        <v/>
      </c>
      <c r="K44" s="10" t="str">
        <f t="shared" si="8"/>
        <v/>
      </c>
      <c r="L44" t="str">
        <f t="shared" si="9"/>
        <v/>
      </c>
      <c r="T44" t="str">
        <f t="shared" si="10"/>
        <v/>
      </c>
    </row>
    <row r="45" spans="1:20" x14ac:dyDescent="0.3">
      <c r="A45" s="9" t="str">
        <f>IF(Jugadores!B41="","",IF(Jugadores!B41=$B$3,"",Jugadores!B41))</f>
        <v/>
      </c>
      <c r="B45" s="2" t="str">
        <f>IF($A45="","",COUNTIFS(Partidos!$C:$C,Partidos!$X$2,Partidos!$D:$D,$B$3,Partidos!$E:$E,$A45)+COUNTIFS(Partidos!$C:$C,Partidos!$X$2,Partidos!$D:$D,$A45,Partidos!$E:$E,$B$3)+COUNTIFS(Partidos!$C:$C,Partidos!$X$2,Partidos!$F:$F,$B$3,Partidos!$G:$G,$A45)+COUNTIFS(Partidos!$C:$C,Partidos!$X$2,Partidos!$F:$F,$A45,Partidos!$G:$G,$B$3))</f>
        <v/>
      </c>
      <c r="C45" s="2" t="str">
        <f>IF($A45="","",COUNTIFS(Partidos!$C:$C,Partidos!$X$2,Partidos!$P:$P,"A",Partidos!$D:$D,$B$3,Partidos!$E:$E,$A45)+COUNTIFS(Partidos!$C:$C,Partidos!$X$2,Partidos!$P:$P,"A",Partidos!$D:$D,$A45,Partidos!$E:$E,$B$3)+COUNTIFS(Partidos!$C:$C,Partidos!$X$2,Partidos!$P:$P,"B",Partidos!$F:$F,$B$3,Partidos!$G:$G,$A45)+COUNTIFS(Partidos!$C:$C,Partidos!$X$2,Partidos!$P:$P,"B",Partidos!$F:$F,$A45,Partidos!$G:$G,$B$3))</f>
        <v/>
      </c>
      <c r="D45" s="2" t="str">
        <f t="shared" si="6"/>
        <v/>
      </c>
      <c r="E45" s="45" t="str">
        <f t="shared" si="2"/>
        <v/>
      </c>
      <c r="F45" s="10" t="str">
        <f>IF($A45="","",SUMIFS(Partidos!$Q:$Q,Partidos!$C:$C,Partidos!$X$2,Partidos!$D:$D,$B$3,Partidos!$E:$E,$A45)+SUMIFS(Partidos!$Q:$Q,Partidos!$C:$C,Partidos!$X$2,Partidos!$D:$D,$A45,Partidos!$E:$E,$B$3)+SUMIFS(Partidos!$R:$R,Partidos!$C:$C,Partidos!$X$2,Partidos!$F:$F,$B$3,Partidos!$G:$G,$A45)+SUMIFS(Partidos!$R:$R,Partidos!$C:$C,Partidos!$X$2,Partidos!$F:$F,$A45,Partidos!$G:$G,$B$3))</f>
        <v/>
      </c>
      <c r="G45" s="10" t="str">
        <f>IF($A45="","",SUMIFS(Partidos!$R:$R,Partidos!$C:$C,Partidos!$X$2,Partidos!$D:$D,$B$3,Partidos!$E:$E,$A45)+SUMIFS(Partidos!$R:$R,Partidos!$C:$C,Partidos!$X$2,Partidos!$D:$D,$A45,Partidos!$E:$E,$B$3)+SUMIFS(Partidos!$Q:$Q,Partidos!$C:$C,Partidos!$X$2,Partidos!$F:$F,$B$3,Partidos!$G:$G,$A45)+SUMIFS(Partidos!$Q:$Q,Partidos!$C:$C,Partidos!$X$2,Partidos!$F:$F,$A45,Partidos!$G:$G,$B$3))</f>
        <v/>
      </c>
      <c r="H45" s="10" t="str">
        <f t="shared" si="7"/>
        <v/>
      </c>
      <c r="I45" s="10" t="str">
        <f>IF($A45="","",IF($A45="","",SUMIFS(Partidos!$N:$N,Partidos!$C:$C,Partidos!$X$2,Partidos!$D:$D,$B$3,Partidos!$E:$E,$A45)+SUMIFS(Partidos!$N:$N,Partidos!$C:$C,Partidos!$X$2,Partidos!$D:$D,$A45,Partidos!$E:$E,$B$3)+SUMIFS(Partidos!$O:$O,Partidos!$C:$C,Partidos!$X$2,Partidos!$F:$F,$B$3,Partidos!$G:$G,$A45)+SUMIFS(Partidos!$O:$O,Partidos!$C:$C,Partidos!$X$2,Partidos!$F:$F,$A45,Partidos!$G:$G,$B$3)))</f>
        <v/>
      </c>
      <c r="J45" s="10" t="str">
        <f>IF($A45="","",IF($A45="","",SUMIFS(Partidos!$O:$O,Partidos!$C:$C,Partidos!$X$2,Partidos!$D:$D,$B$3,Partidos!$E:$E,$A45)+SUMIFS(Partidos!$O:$O,Partidos!$C:$C,Partidos!$X$2,Partidos!$D:$D,$A45,Partidos!$E:$E,$B$3)+SUMIFS(Partidos!$N:$N,Partidos!$C:$C,Partidos!$X$2,Partidos!$F:$F,$B$3,Partidos!$G:$G,$A45)+SUMIFS(Partidos!$N:$N,Partidos!$C:$C,Partidos!$X$2,Partidos!$F:$F,$A45,Partidos!$G:$G,$B$3)))</f>
        <v/>
      </c>
      <c r="K45" s="10" t="str">
        <f t="shared" si="8"/>
        <v/>
      </c>
      <c r="L45" t="str">
        <f t="shared" si="9"/>
        <v/>
      </c>
      <c r="T45" t="str">
        <f t="shared" si="10"/>
        <v/>
      </c>
    </row>
    <row r="46" spans="1:20" x14ac:dyDescent="0.3">
      <c r="A46" s="9" t="str">
        <f>IF(Jugadores!B42="","",IF(Jugadores!B42=$B$3,"",Jugadores!B42))</f>
        <v/>
      </c>
      <c r="B46" s="2" t="str">
        <f>IF($A46="","",COUNTIFS(Partidos!$C:$C,Partidos!$X$2,Partidos!$D:$D,$B$3,Partidos!$E:$E,$A46)+COUNTIFS(Partidos!$C:$C,Partidos!$X$2,Partidos!$D:$D,$A46,Partidos!$E:$E,$B$3)+COUNTIFS(Partidos!$C:$C,Partidos!$X$2,Partidos!$F:$F,$B$3,Partidos!$G:$G,$A46)+COUNTIFS(Partidos!$C:$C,Partidos!$X$2,Partidos!$F:$F,$A46,Partidos!$G:$G,$B$3))</f>
        <v/>
      </c>
      <c r="C46" s="2" t="str">
        <f>IF($A46="","",COUNTIFS(Partidos!$C:$C,Partidos!$X$2,Partidos!$P:$P,"A",Partidos!$D:$D,$B$3,Partidos!$E:$E,$A46)+COUNTIFS(Partidos!$C:$C,Partidos!$X$2,Partidos!$P:$P,"A",Partidos!$D:$D,$A46,Partidos!$E:$E,$B$3)+COUNTIFS(Partidos!$C:$C,Partidos!$X$2,Partidos!$P:$P,"B",Partidos!$F:$F,$B$3,Partidos!$G:$G,$A46)+COUNTIFS(Partidos!$C:$C,Partidos!$X$2,Partidos!$P:$P,"B",Partidos!$F:$F,$A46,Partidos!$G:$G,$B$3))</f>
        <v/>
      </c>
      <c r="D46" s="2" t="str">
        <f t="shared" si="6"/>
        <v/>
      </c>
      <c r="E46" s="45" t="str">
        <f t="shared" si="2"/>
        <v/>
      </c>
      <c r="F46" s="10" t="str">
        <f>IF($A46="","",SUMIFS(Partidos!$Q:$Q,Partidos!$C:$C,Partidos!$X$2,Partidos!$D:$D,$B$3,Partidos!$E:$E,$A46)+SUMIFS(Partidos!$Q:$Q,Partidos!$C:$C,Partidos!$X$2,Partidos!$D:$D,$A46,Partidos!$E:$E,$B$3)+SUMIFS(Partidos!$R:$R,Partidos!$C:$C,Partidos!$X$2,Partidos!$F:$F,$B$3,Partidos!$G:$G,$A46)+SUMIFS(Partidos!$R:$R,Partidos!$C:$C,Partidos!$X$2,Partidos!$F:$F,$A46,Partidos!$G:$G,$B$3))</f>
        <v/>
      </c>
      <c r="G46" s="10" t="str">
        <f>IF($A46="","",SUMIFS(Partidos!$R:$R,Partidos!$C:$C,Partidos!$X$2,Partidos!$D:$D,$B$3,Partidos!$E:$E,$A46)+SUMIFS(Partidos!$R:$R,Partidos!$C:$C,Partidos!$X$2,Partidos!$D:$D,$A46,Partidos!$E:$E,$B$3)+SUMIFS(Partidos!$Q:$Q,Partidos!$C:$C,Partidos!$X$2,Partidos!$F:$F,$B$3,Partidos!$G:$G,$A46)+SUMIFS(Partidos!$Q:$Q,Partidos!$C:$C,Partidos!$X$2,Partidos!$F:$F,$A46,Partidos!$G:$G,$B$3))</f>
        <v/>
      </c>
      <c r="H46" s="10" t="str">
        <f t="shared" si="7"/>
        <v/>
      </c>
      <c r="I46" s="10" t="str">
        <f>IF($A46="","",IF($A46="","",SUMIFS(Partidos!$N:$N,Partidos!$C:$C,Partidos!$X$2,Partidos!$D:$D,$B$3,Partidos!$E:$E,$A46)+SUMIFS(Partidos!$N:$N,Partidos!$C:$C,Partidos!$X$2,Partidos!$D:$D,$A46,Partidos!$E:$E,$B$3)+SUMIFS(Partidos!$O:$O,Partidos!$C:$C,Partidos!$X$2,Partidos!$F:$F,$B$3,Partidos!$G:$G,$A46)+SUMIFS(Partidos!$O:$O,Partidos!$C:$C,Partidos!$X$2,Partidos!$F:$F,$A46,Partidos!$G:$G,$B$3)))</f>
        <v/>
      </c>
      <c r="J46" s="10" t="str">
        <f>IF($A46="","",IF($A46="","",SUMIFS(Partidos!$O:$O,Partidos!$C:$C,Partidos!$X$2,Partidos!$D:$D,$B$3,Partidos!$E:$E,$A46)+SUMIFS(Partidos!$O:$O,Partidos!$C:$C,Partidos!$X$2,Partidos!$D:$D,$A46,Partidos!$E:$E,$B$3)+SUMIFS(Partidos!$N:$N,Partidos!$C:$C,Partidos!$X$2,Partidos!$F:$F,$B$3,Partidos!$G:$G,$A46)+SUMIFS(Partidos!$N:$N,Partidos!$C:$C,Partidos!$X$2,Partidos!$F:$F,$A46,Partidos!$G:$G,$B$3)))</f>
        <v/>
      </c>
      <c r="K46" s="10" t="str">
        <f t="shared" si="8"/>
        <v/>
      </c>
      <c r="L46" t="str">
        <f t="shared" si="9"/>
        <v/>
      </c>
      <c r="T46" t="str">
        <f t="shared" si="10"/>
        <v/>
      </c>
    </row>
    <row r="47" spans="1:20" x14ac:dyDescent="0.3">
      <c r="A47" s="9" t="str">
        <f>IF(Jugadores!B43="","",IF(Jugadores!B43=$B$3,"",Jugadores!B43))</f>
        <v/>
      </c>
      <c r="B47" s="2" t="str">
        <f>IF($A47="","",COUNTIFS(Partidos!$C:$C,Partidos!$X$2,Partidos!$D:$D,$B$3,Partidos!$E:$E,$A47)+COUNTIFS(Partidos!$C:$C,Partidos!$X$2,Partidos!$D:$D,$A47,Partidos!$E:$E,$B$3)+COUNTIFS(Partidos!$C:$C,Partidos!$X$2,Partidos!$F:$F,$B$3,Partidos!$G:$G,$A47)+COUNTIFS(Partidos!$C:$C,Partidos!$X$2,Partidos!$F:$F,$A47,Partidos!$G:$G,$B$3))</f>
        <v/>
      </c>
      <c r="C47" s="2" t="str">
        <f>IF($A47="","",COUNTIFS(Partidos!$C:$C,Partidos!$X$2,Partidos!$P:$P,"A",Partidos!$D:$D,$B$3,Partidos!$E:$E,$A47)+COUNTIFS(Partidos!$C:$C,Partidos!$X$2,Partidos!$P:$P,"A",Partidos!$D:$D,$A47,Partidos!$E:$E,$B$3)+COUNTIFS(Partidos!$C:$C,Partidos!$X$2,Partidos!$P:$P,"B",Partidos!$F:$F,$B$3,Partidos!$G:$G,$A47)+COUNTIFS(Partidos!$C:$C,Partidos!$X$2,Partidos!$P:$P,"B",Partidos!$F:$F,$A47,Partidos!$G:$G,$B$3))</f>
        <v/>
      </c>
      <c r="D47" s="2" t="str">
        <f t="shared" si="6"/>
        <v/>
      </c>
      <c r="E47" s="45" t="str">
        <f t="shared" si="2"/>
        <v/>
      </c>
      <c r="F47" s="10" t="str">
        <f>IF($A47="","",SUMIFS(Partidos!$Q:$Q,Partidos!$C:$C,Partidos!$X$2,Partidos!$D:$D,$B$3,Partidos!$E:$E,$A47)+SUMIFS(Partidos!$Q:$Q,Partidos!$C:$C,Partidos!$X$2,Partidos!$D:$D,$A47,Partidos!$E:$E,$B$3)+SUMIFS(Partidos!$R:$R,Partidos!$C:$C,Partidos!$X$2,Partidos!$F:$F,$B$3,Partidos!$G:$G,$A47)+SUMIFS(Partidos!$R:$R,Partidos!$C:$C,Partidos!$X$2,Partidos!$F:$F,$A47,Partidos!$G:$G,$B$3))</f>
        <v/>
      </c>
      <c r="G47" s="10" t="str">
        <f>IF($A47="","",SUMIFS(Partidos!$R:$R,Partidos!$C:$C,Partidos!$X$2,Partidos!$D:$D,$B$3,Partidos!$E:$E,$A47)+SUMIFS(Partidos!$R:$R,Partidos!$C:$C,Partidos!$X$2,Partidos!$D:$D,$A47,Partidos!$E:$E,$B$3)+SUMIFS(Partidos!$Q:$Q,Partidos!$C:$C,Partidos!$X$2,Partidos!$F:$F,$B$3,Partidos!$G:$G,$A47)+SUMIFS(Partidos!$Q:$Q,Partidos!$C:$C,Partidos!$X$2,Partidos!$F:$F,$A47,Partidos!$G:$G,$B$3))</f>
        <v/>
      </c>
      <c r="H47" s="10" t="str">
        <f t="shared" si="7"/>
        <v/>
      </c>
      <c r="I47" s="10" t="str">
        <f>IF($A47="","",IF($A47="","",SUMIFS(Partidos!$N:$N,Partidos!$C:$C,Partidos!$X$2,Partidos!$D:$D,$B$3,Partidos!$E:$E,$A47)+SUMIFS(Partidos!$N:$N,Partidos!$C:$C,Partidos!$X$2,Partidos!$D:$D,$A47,Partidos!$E:$E,$B$3)+SUMIFS(Partidos!$O:$O,Partidos!$C:$C,Partidos!$X$2,Partidos!$F:$F,$B$3,Partidos!$G:$G,$A47)+SUMIFS(Partidos!$O:$O,Partidos!$C:$C,Partidos!$X$2,Partidos!$F:$F,$A47,Partidos!$G:$G,$B$3)))</f>
        <v/>
      </c>
      <c r="J47" s="10" t="str">
        <f>IF($A47="","",IF($A47="","",SUMIFS(Partidos!$O:$O,Partidos!$C:$C,Partidos!$X$2,Partidos!$D:$D,$B$3,Partidos!$E:$E,$A47)+SUMIFS(Partidos!$O:$O,Partidos!$C:$C,Partidos!$X$2,Partidos!$D:$D,$A47,Partidos!$E:$E,$B$3)+SUMIFS(Partidos!$N:$N,Partidos!$C:$C,Partidos!$X$2,Partidos!$F:$F,$B$3,Partidos!$G:$G,$A47)+SUMIFS(Partidos!$N:$N,Partidos!$C:$C,Partidos!$X$2,Partidos!$F:$F,$A47,Partidos!$G:$G,$B$3)))</f>
        <v/>
      </c>
      <c r="K47" s="10" t="str">
        <f t="shared" si="8"/>
        <v/>
      </c>
      <c r="L47" t="str">
        <f t="shared" si="9"/>
        <v/>
      </c>
      <c r="T47" t="str">
        <f t="shared" si="10"/>
        <v/>
      </c>
    </row>
    <row r="48" spans="1:20" x14ac:dyDescent="0.3">
      <c r="A48" s="9" t="str">
        <f>IF(Jugadores!B44="","",IF(Jugadores!B44=$B$3,"",Jugadores!B44))</f>
        <v/>
      </c>
      <c r="B48" s="2" t="str">
        <f>IF($A48="","",COUNTIFS(Partidos!$C:$C,Partidos!$X$2,Partidos!$D:$D,$B$3,Partidos!$E:$E,$A48)+COUNTIFS(Partidos!$C:$C,Partidos!$X$2,Partidos!$D:$D,$A48,Partidos!$E:$E,$B$3)+COUNTIFS(Partidos!$C:$C,Partidos!$X$2,Partidos!$F:$F,$B$3,Partidos!$G:$G,$A48)+COUNTIFS(Partidos!$C:$C,Partidos!$X$2,Partidos!$F:$F,$A48,Partidos!$G:$G,$B$3))</f>
        <v/>
      </c>
      <c r="C48" s="2" t="str">
        <f>IF($A48="","",COUNTIFS(Partidos!$C:$C,Partidos!$X$2,Partidos!$P:$P,"A",Partidos!$D:$D,$B$3,Partidos!$E:$E,$A48)+COUNTIFS(Partidos!$C:$C,Partidos!$X$2,Partidos!$P:$P,"A",Partidos!$D:$D,$A48,Partidos!$E:$E,$B$3)+COUNTIFS(Partidos!$C:$C,Partidos!$X$2,Partidos!$P:$P,"B",Partidos!$F:$F,$B$3,Partidos!$G:$G,$A48)+COUNTIFS(Partidos!$C:$C,Partidos!$X$2,Partidos!$P:$P,"B",Partidos!$F:$F,$A48,Partidos!$G:$G,$B$3))</f>
        <v/>
      </c>
      <c r="D48" s="2" t="str">
        <f t="shared" si="6"/>
        <v/>
      </c>
      <c r="E48" s="45" t="str">
        <f t="shared" si="2"/>
        <v/>
      </c>
      <c r="F48" s="10" t="str">
        <f>IF($A48="","",SUMIFS(Partidos!$Q:$Q,Partidos!$C:$C,Partidos!$X$2,Partidos!$D:$D,$B$3,Partidos!$E:$E,$A48)+SUMIFS(Partidos!$Q:$Q,Partidos!$C:$C,Partidos!$X$2,Partidos!$D:$D,$A48,Partidos!$E:$E,$B$3)+SUMIFS(Partidos!$R:$R,Partidos!$C:$C,Partidos!$X$2,Partidos!$F:$F,$B$3,Partidos!$G:$G,$A48)+SUMIFS(Partidos!$R:$R,Partidos!$C:$C,Partidos!$X$2,Partidos!$F:$F,$A48,Partidos!$G:$G,$B$3))</f>
        <v/>
      </c>
      <c r="G48" s="10" t="str">
        <f>IF($A48="","",SUMIFS(Partidos!$R:$R,Partidos!$C:$C,Partidos!$X$2,Partidos!$D:$D,$B$3,Partidos!$E:$E,$A48)+SUMIFS(Partidos!$R:$R,Partidos!$C:$C,Partidos!$X$2,Partidos!$D:$D,$A48,Partidos!$E:$E,$B$3)+SUMIFS(Partidos!$Q:$Q,Partidos!$C:$C,Partidos!$X$2,Partidos!$F:$F,$B$3,Partidos!$G:$G,$A48)+SUMIFS(Partidos!$Q:$Q,Partidos!$C:$C,Partidos!$X$2,Partidos!$F:$F,$A48,Partidos!$G:$G,$B$3))</f>
        <v/>
      </c>
      <c r="H48" s="10" t="str">
        <f t="shared" si="7"/>
        <v/>
      </c>
      <c r="I48" s="10" t="str">
        <f>IF($A48="","",IF($A48="","",SUMIFS(Partidos!$N:$N,Partidos!$C:$C,Partidos!$X$2,Partidos!$D:$D,$B$3,Partidos!$E:$E,$A48)+SUMIFS(Partidos!$N:$N,Partidos!$C:$C,Partidos!$X$2,Partidos!$D:$D,$A48,Partidos!$E:$E,$B$3)+SUMIFS(Partidos!$O:$O,Partidos!$C:$C,Partidos!$X$2,Partidos!$F:$F,$B$3,Partidos!$G:$G,$A48)+SUMIFS(Partidos!$O:$O,Partidos!$C:$C,Partidos!$X$2,Partidos!$F:$F,$A48,Partidos!$G:$G,$B$3)))</f>
        <v/>
      </c>
      <c r="J48" s="10" t="str">
        <f>IF($A48="","",IF($A48="","",SUMIFS(Partidos!$O:$O,Partidos!$C:$C,Partidos!$X$2,Partidos!$D:$D,$B$3,Partidos!$E:$E,$A48)+SUMIFS(Partidos!$O:$O,Partidos!$C:$C,Partidos!$X$2,Partidos!$D:$D,$A48,Partidos!$E:$E,$B$3)+SUMIFS(Partidos!$N:$N,Partidos!$C:$C,Partidos!$X$2,Partidos!$F:$F,$B$3,Partidos!$G:$G,$A48)+SUMIFS(Partidos!$N:$N,Partidos!$C:$C,Partidos!$X$2,Partidos!$F:$F,$A48,Partidos!$G:$G,$B$3)))</f>
        <v/>
      </c>
      <c r="K48" s="10" t="str">
        <f t="shared" si="8"/>
        <v/>
      </c>
      <c r="L48" t="str">
        <f t="shared" si="9"/>
        <v/>
      </c>
      <c r="T48" t="str">
        <f t="shared" si="10"/>
        <v/>
      </c>
    </row>
    <row r="49" spans="1:20" x14ac:dyDescent="0.3">
      <c r="A49" s="9" t="str">
        <f>IF(Jugadores!B45="","",IF(Jugadores!B45=$B$3,"",Jugadores!B45))</f>
        <v/>
      </c>
      <c r="B49" s="2" t="str">
        <f>IF($A49="","",COUNTIFS(Partidos!$C:$C,Partidos!$X$2,Partidos!$D:$D,$B$3,Partidos!$E:$E,$A49)+COUNTIFS(Partidos!$C:$C,Partidos!$X$2,Partidos!$D:$D,$A49,Partidos!$E:$E,$B$3)+COUNTIFS(Partidos!$C:$C,Partidos!$X$2,Partidos!$F:$F,$B$3,Partidos!$G:$G,$A49)+COUNTIFS(Partidos!$C:$C,Partidos!$X$2,Partidos!$F:$F,$A49,Partidos!$G:$G,$B$3))</f>
        <v/>
      </c>
      <c r="C49" s="2" t="str">
        <f>IF($A49="","",COUNTIFS(Partidos!$C:$C,Partidos!$X$2,Partidos!$P:$P,"A",Partidos!$D:$D,$B$3,Partidos!$E:$E,$A49)+COUNTIFS(Partidos!$C:$C,Partidos!$X$2,Partidos!$P:$P,"A",Partidos!$D:$D,$A49,Partidos!$E:$E,$B$3)+COUNTIFS(Partidos!$C:$C,Partidos!$X$2,Partidos!$P:$P,"B",Partidos!$F:$F,$B$3,Partidos!$G:$G,$A49)+COUNTIFS(Partidos!$C:$C,Partidos!$X$2,Partidos!$P:$P,"B",Partidos!$F:$F,$A49,Partidos!$G:$G,$B$3))</f>
        <v/>
      </c>
      <c r="D49" s="2" t="str">
        <f t="shared" si="6"/>
        <v/>
      </c>
      <c r="E49" s="45" t="str">
        <f t="shared" si="2"/>
        <v/>
      </c>
      <c r="F49" s="10" t="str">
        <f>IF($A49="","",SUMIFS(Partidos!$Q:$Q,Partidos!$C:$C,Partidos!$X$2,Partidos!$D:$D,$B$3,Partidos!$E:$E,$A49)+SUMIFS(Partidos!$Q:$Q,Partidos!$C:$C,Partidos!$X$2,Partidos!$D:$D,$A49,Partidos!$E:$E,$B$3)+SUMIFS(Partidos!$R:$R,Partidos!$C:$C,Partidos!$X$2,Partidos!$F:$F,$B$3,Partidos!$G:$G,$A49)+SUMIFS(Partidos!$R:$R,Partidos!$C:$C,Partidos!$X$2,Partidos!$F:$F,$A49,Partidos!$G:$G,$B$3))</f>
        <v/>
      </c>
      <c r="G49" s="10" t="str">
        <f>IF($A49="","",SUMIFS(Partidos!$R:$R,Partidos!$C:$C,Partidos!$X$2,Partidos!$D:$D,$B$3,Partidos!$E:$E,$A49)+SUMIFS(Partidos!$R:$R,Partidos!$C:$C,Partidos!$X$2,Partidos!$D:$D,$A49,Partidos!$E:$E,$B$3)+SUMIFS(Partidos!$Q:$Q,Partidos!$C:$C,Partidos!$X$2,Partidos!$F:$F,$B$3,Partidos!$G:$G,$A49)+SUMIFS(Partidos!$Q:$Q,Partidos!$C:$C,Partidos!$X$2,Partidos!$F:$F,$A49,Partidos!$G:$G,$B$3))</f>
        <v/>
      </c>
      <c r="H49" s="10" t="str">
        <f t="shared" si="7"/>
        <v/>
      </c>
      <c r="I49" s="10" t="str">
        <f>IF($A49="","",IF($A49="","",SUMIFS(Partidos!$N:$N,Partidos!$C:$C,Partidos!$X$2,Partidos!$D:$D,$B$3,Partidos!$E:$E,$A49)+SUMIFS(Partidos!$N:$N,Partidos!$C:$C,Partidos!$X$2,Partidos!$D:$D,$A49,Partidos!$E:$E,$B$3)+SUMIFS(Partidos!$O:$O,Partidos!$C:$C,Partidos!$X$2,Partidos!$F:$F,$B$3,Partidos!$G:$G,$A49)+SUMIFS(Partidos!$O:$O,Partidos!$C:$C,Partidos!$X$2,Partidos!$F:$F,$A49,Partidos!$G:$G,$B$3)))</f>
        <v/>
      </c>
      <c r="J49" s="10" t="str">
        <f>IF($A49="","",IF($A49="","",SUMIFS(Partidos!$O:$O,Partidos!$C:$C,Partidos!$X$2,Partidos!$D:$D,$B$3,Partidos!$E:$E,$A49)+SUMIFS(Partidos!$O:$O,Partidos!$C:$C,Partidos!$X$2,Partidos!$D:$D,$A49,Partidos!$E:$E,$B$3)+SUMIFS(Partidos!$N:$N,Partidos!$C:$C,Partidos!$X$2,Partidos!$F:$F,$B$3,Partidos!$G:$G,$A49)+SUMIFS(Partidos!$N:$N,Partidos!$C:$C,Partidos!$X$2,Partidos!$F:$F,$A49,Partidos!$G:$G,$B$3)))</f>
        <v/>
      </c>
      <c r="K49" s="10" t="str">
        <f t="shared" si="8"/>
        <v/>
      </c>
      <c r="L49" t="str">
        <f t="shared" si="9"/>
        <v/>
      </c>
      <c r="T49" t="str">
        <f t="shared" si="10"/>
        <v/>
      </c>
    </row>
    <row r="50" spans="1:20" x14ac:dyDescent="0.3">
      <c r="A50" s="9" t="str">
        <f>IF(Jugadores!B46="","",IF(Jugadores!B46=$B$3,"",Jugadores!B46))</f>
        <v/>
      </c>
      <c r="B50" s="2" t="str">
        <f>IF($A50="","",COUNTIFS(Partidos!$C:$C,Partidos!$X$2,Partidos!$D:$D,$B$3,Partidos!$E:$E,$A50)+COUNTIFS(Partidos!$C:$C,Partidos!$X$2,Partidos!$D:$D,$A50,Partidos!$E:$E,$B$3)+COUNTIFS(Partidos!$C:$C,Partidos!$X$2,Partidos!$F:$F,$B$3,Partidos!$G:$G,$A50)+COUNTIFS(Partidos!$C:$C,Partidos!$X$2,Partidos!$F:$F,$A50,Partidos!$G:$G,$B$3))</f>
        <v/>
      </c>
      <c r="C50" s="2" t="str">
        <f>IF($A50="","",COUNTIFS(Partidos!$C:$C,Partidos!$X$2,Partidos!$P:$P,"A",Partidos!$D:$D,$B$3,Partidos!$E:$E,$A50)+COUNTIFS(Partidos!$C:$C,Partidos!$X$2,Partidos!$P:$P,"A",Partidos!$D:$D,$A50,Partidos!$E:$E,$B$3)+COUNTIFS(Partidos!$C:$C,Partidos!$X$2,Partidos!$P:$P,"B",Partidos!$F:$F,$B$3,Partidos!$G:$G,$A50)+COUNTIFS(Partidos!$C:$C,Partidos!$X$2,Partidos!$P:$P,"B",Partidos!$F:$F,$A50,Partidos!$G:$G,$B$3))</f>
        <v/>
      </c>
      <c r="D50" s="2" t="str">
        <f t="shared" si="6"/>
        <v/>
      </c>
      <c r="E50" s="45" t="str">
        <f t="shared" si="2"/>
        <v/>
      </c>
      <c r="F50" s="10" t="str">
        <f>IF($A50="","",SUMIFS(Partidos!$Q:$Q,Partidos!$C:$C,Partidos!$X$2,Partidos!$D:$D,$B$3,Partidos!$E:$E,$A50)+SUMIFS(Partidos!$Q:$Q,Partidos!$C:$C,Partidos!$X$2,Partidos!$D:$D,$A50,Partidos!$E:$E,$B$3)+SUMIFS(Partidos!$R:$R,Partidos!$C:$C,Partidos!$X$2,Partidos!$F:$F,$B$3,Partidos!$G:$G,$A50)+SUMIFS(Partidos!$R:$R,Partidos!$C:$C,Partidos!$X$2,Partidos!$F:$F,$A50,Partidos!$G:$G,$B$3))</f>
        <v/>
      </c>
      <c r="G50" s="10" t="str">
        <f>IF($A50="","",SUMIFS(Partidos!$R:$R,Partidos!$C:$C,Partidos!$X$2,Partidos!$D:$D,$B$3,Partidos!$E:$E,$A50)+SUMIFS(Partidos!$R:$R,Partidos!$C:$C,Partidos!$X$2,Partidos!$D:$D,$A50,Partidos!$E:$E,$B$3)+SUMIFS(Partidos!$Q:$Q,Partidos!$C:$C,Partidos!$X$2,Partidos!$F:$F,$B$3,Partidos!$G:$G,$A50)+SUMIFS(Partidos!$Q:$Q,Partidos!$C:$C,Partidos!$X$2,Partidos!$F:$F,$A50,Partidos!$G:$G,$B$3))</f>
        <v/>
      </c>
      <c r="H50" s="10" t="str">
        <f t="shared" si="7"/>
        <v/>
      </c>
      <c r="I50" s="10" t="str">
        <f>IF($A50="","",IF($A50="","",SUMIFS(Partidos!$N:$N,Partidos!$C:$C,Partidos!$X$2,Partidos!$D:$D,$B$3,Partidos!$E:$E,$A50)+SUMIFS(Partidos!$N:$N,Partidos!$C:$C,Partidos!$X$2,Partidos!$D:$D,$A50,Partidos!$E:$E,$B$3)+SUMIFS(Partidos!$O:$O,Partidos!$C:$C,Partidos!$X$2,Partidos!$F:$F,$B$3,Partidos!$G:$G,$A50)+SUMIFS(Partidos!$O:$O,Partidos!$C:$C,Partidos!$X$2,Partidos!$F:$F,$A50,Partidos!$G:$G,$B$3)))</f>
        <v/>
      </c>
      <c r="J50" s="10" t="str">
        <f>IF($A50="","",IF($A50="","",SUMIFS(Partidos!$O:$O,Partidos!$C:$C,Partidos!$X$2,Partidos!$D:$D,$B$3,Partidos!$E:$E,$A50)+SUMIFS(Partidos!$O:$O,Partidos!$C:$C,Partidos!$X$2,Partidos!$D:$D,$A50,Partidos!$E:$E,$B$3)+SUMIFS(Partidos!$N:$N,Partidos!$C:$C,Partidos!$X$2,Partidos!$F:$F,$B$3,Partidos!$G:$G,$A50)+SUMIFS(Partidos!$N:$N,Partidos!$C:$C,Partidos!$X$2,Partidos!$F:$F,$A50,Partidos!$G:$G,$B$3)))</f>
        <v/>
      </c>
      <c r="K50" s="10" t="str">
        <f t="shared" si="8"/>
        <v/>
      </c>
      <c r="L50" t="str">
        <f t="shared" si="9"/>
        <v/>
      </c>
      <c r="T50" t="str">
        <f t="shared" si="10"/>
        <v/>
      </c>
    </row>
    <row r="51" spans="1:20" x14ac:dyDescent="0.3">
      <c r="A51" s="9" t="str">
        <f>IF(Jugadores!B47="","",IF(Jugadores!B47=$B$3,"",Jugadores!B47))</f>
        <v/>
      </c>
      <c r="B51" s="2" t="str">
        <f>IF($A51="","",COUNTIFS(Partidos!$C:$C,Partidos!$X$2,Partidos!$D:$D,$B$3,Partidos!$E:$E,$A51)+COUNTIFS(Partidos!$C:$C,Partidos!$X$2,Partidos!$D:$D,$A51,Partidos!$E:$E,$B$3)+COUNTIFS(Partidos!$C:$C,Partidos!$X$2,Partidos!$F:$F,$B$3,Partidos!$G:$G,$A51)+COUNTIFS(Partidos!$C:$C,Partidos!$X$2,Partidos!$F:$F,$A51,Partidos!$G:$G,$B$3))</f>
        <v/>
      </c>
      <c r="C51" s="2" t="str">
        <f>IF($A51="","",COUNTIFS(Partidos!$C:$C,Partidos!$X$2,Partidos!$P:$P,"A",Partidos!$D:$D,$B$3,Partidos!$E:$E,$A51)+COUNTIFS(Partidos!$C:$C,Partidos!$X$2,Partidos!$P:$P,"A",Partidos!$D:$D,$A51,Partidos!$E:$E,$B$3)+COUNTIFS(Partidos!$C:$C,Partidos!$X$2,Partidos!$P:$P,"B",Partidos!$F:$F,$B$3,Partidos!$G:$G,$A51)+COUNTIFS(Partidos!$C:$C,Partidos!$X$2,Partidos!$P:$P,"B",Partidos!$F:$F,$A51,Partidos!$G:$G,$B$3))</f>
        <v/>
      </c>
      <c r="D51" s="2" t="str">
        <f t="shared" si="6"/>
        <v/>
      </c>
      <c r="E51" s="45" t="str">
        <f t="shared" si="2"/>
        <v/>
      </c>
      <c r="F51" s="10" t="str">
        <f>IF($A51="","",SUMIFS(Partidos!$Q:$Q,Partidos!$C:$C,Partidos!$X$2,Partidos!$D:$D,$B$3,Partidos!$E:$E,$A51)+SUMIFS(Partidos!$Q:$Q,Partidos!$C:$C,Partidos!$X$2,Partidos!$D:$D,$A51,Partidos!$E:$E,$B$3)+SUMIFS(Partidos!$R:$R,Partidos!$C:$C,Partidos!$X$2,Partidos!$F:$F,$B$3,Partidos!$G:$G,$A51)+SUMIFS(Partidos!$R:$R,Partidos!$C:$C,Partidos!$X$2,Partidos!$F:$F,$A51,Partidos!$G:$G,$B$3))</f>
        <v/>
      </c>
      <c r="G51" s="10" t="str">
        <f>IF($A51="","",SUMIFS(Partidos!$R:$R,Partidos!$C:$C,Partidos!$X$2,Partidos!$D:$D,$B$3,Partidos!$E:$E,$A51)+SUMIFS(Partidos!$R:$R,Partidos!$C:$C,Partidos!$X$2,Partidos!$D:$D,$A51,Partidos!$E:$E,$B$3)+SUMIFS(Partidos!$Q:$Q,Partidos!$C:$C,Partidos!$X$2,Partidos!$F:$F,$B$3,Partidos!$G:$G,$A51)+SUMIFS(Partidos!$Q:$Q,Partidos!$C:$C,Partidos!$X$2,Partidos!$F:$F,$A51,Partidos!$G:$G,$B$3))</f>
        <v/>
      </c>
      <c r="H51" s="10" t="str">
        <f t="shared" si="7"/>
        <v/>
      </c>
      <c r="I51" s="10" t="str">
        <f>IF($A51="","",IF($A51="","",SUMIFS(Partidos!$N:$N,Partidos!$C:$C,Partidos!$X$2,Partidos!$D:$D,$B$3,Partidos!$E:$E,$A51)+SUMIFS(Partidos!$N:$N,Partidos!$C:$C,Partidos!$X$2,Partidos!$D:$D,$A51,Partidos!$E:$E,$B$3)+SUMIFS(Partidos!$O:$O,Partidos!$C:$C,Partidos!$X$2,Partidos!$F:$F,$B$3,Partidos!$G:$G,$A51)+SUMIFS(Partidos!$O:$O,Partidos!$C:$C,Partidos!$X$2,Partidos!$F:$F,$A51,Partidos!$G:$G,$B$3)))</f>
        <v/>
      </c>
      <c r="J51" s="10" t="str">
        <f>IF($A51="","",IF($A51="","",SUMIFS(Partidos!$O:$O,Partidos!$C:$C,Partidos!$X$2,Partidos!$D:$D,$B$3,Partidos!$E:$E,$A51)+SUMIFS(Partidos!$O:$O,Partidos!$C:$C,Partidos!$X$2,Partidos!$D:$D,$A51,Partidos!$E:$E,$B$3)+SUMIFS(Partidos!$N:$N,Partidos!$C:$C,Partidos!$X$2,Partidos!$F:$F,$B$3,Partidos!$G:$G,$A51)+SUMIFS(Partidos!$N:$N,Partidos!$C:$C,Partidos!$X$2,Partidos!$F:$F,$A51,Partidos!$G:$G,$B$3)))</f>
        <v/>
      </c>
      <c r="K51" s="10" t="str">
        <f t="shared" si="8"/>
        <v/>
      </c>
      <c r="L51" t="str">
        <f t="shared" si="9"/>
        <v/>
      </c>
      <c r="T51" t="str">
        <f t="shared" si="10"/>
        <v/>
      </c>
    </row>
    <row r="52" spans="1:20" x14ac:dyDescent="0.3">
      <c r="A52" s="9" t="str">
        <f>IF(Jugadores!B48="","",IF(Jugadores!B48=$B$3,"",Jugadores!B48))</f>
        <v/>
      </c>
      <c r="B52" s="2" t="str">
        <f>IF($A52="","",COUNTIFS(Partidos!$C:$C,Partidos!$X$2,Partidos!$D:$D,$B$3,Partidos!$E:$E,$A52)+COUNTIFS(Partidos!$C:$C,Partidos!$X$2,Partidos!$D:$D,$A52,Partidos!$E:$E,$B$3)+COUNTIFS(Partidos!$C:$C,Partidos!$X$2,Partidos!$F:$F,$B$3,Partidos!$G:$G,$A52)+COUNTIFS(Partidos!$C:$C,Partidos!$X$2,Partidos!$F:$F,$A52,Partidos!$G:$G,$B$3))</f>
        <v/>
      </c>
      <c r="C52" s="2" t="str">
        <f>IF($A52="","",COUNTIFS(Partidos!$C:$C,Partidos!$X$2,Partidos!$P:$P,"A",Partidos!$D:$D,$B$3,Partidos!$E:$E,$A52)+COUNTIFS(Partidos!$C:$C,Partidos!$X$2,Partidos!$P:$P,"A",Partidos!$D:$D,$A52,Partidos!$E:$E,$B$3)+COUNTIFS(Partidos!$C:$C,Partidos!$X$2,Partidos!$P:$P,"B",Partidos!$F:$F,$B$3,Partidos!$G:$G,$A52)+COUNTIFS(Partidos!$C:$C,Partidos!$X$2,Partidos!$P:$P,"B",Partidos!$F:$F,$A52,Partidos!$G:$G,$B$3))</f>
        <v/>
      </c>
      <c r="D52" s="2" t="str">
        <f t="shared" si="6"/>
        <v/>
      </c>
      <c r="E52" s="45" t="str">
        <f t="shared" si="2"/>
        <v/>
      </c>
      <c r="F52" s="10" t="str">
        <f>IF($A52="","",SUMIFS(Partidos!$Q:$Q,Partidos!$C:$C,Partidos!$X$2,Partidos!$D:$D,$B$3,Partidos!$E:$E,$A52)+SUMIFS(Partidos!$Q:$Q,Partidos!$C:$C,Partidos!$X$2,Partidos!$D:$D,$A52,Partidos!$E:$E,$B$3)+SUMIFS(Partidos!$R:$R,Partidos!$C:$C,Partidos!$X$2,Partidos!$F:$F,$B$3,Partidos!$G:$G,$A52)+SUMIFS(Partidos!$R:$R,Partidos!$C:$C,Partidos!$X$2,Partidos!$F:$F,$A52,Partidos!$G:$G,$B$3))</f>
        <v/>
      </c>
      <c r="G52" s="10" t="str">
        <f>IF($A52="","",SUMIFS(Partidos!$R:$R,Partidos!$C:$C,Partidos!$X$2,Partidos!$D:$D,$B$3,Partidos!$E:$E,$A52)+SUMIFS(Partidos!$R:$R,Partidos!$C:$C,Partidos!$X$2,Partidos!$D:$D,$A52,Partidos!$E:$E,$B$3)+SUMIFS(Partidos!$Q:$Q,Partidos!$C:$C,Partidos!$X$2,Partidos!$F:$F,$B$3,Partidos!$G:$G,$A52)+SUMIFS(Partidos!$Q:$Q,Partidos!$C:$C,Partidos!$X$2,Partidos!$F:$F,$A52,Partidos!$G:$G,$B$3))</f>
        <v/>
      </c>
      <c r="H52" s="10" t="str">
        <f t="shared" si="7"/>
        <v/>
      </c>
      <c r="I52" s="10" t="str">
        <f>IF($A52="","",IF($A52="","",SUMIFS(Partidos!$N:$N,Partidos!$C:$C,Partidos!$X$2,Partidos!$D:$D,$B$3,Partidos!$E:$E,$A52)+SUMIFS(Partidos!$N:$N,Partidos!$C:$C,Partidos!$X$2,Partidos!$D:$D,$A52,Partidos!$E:$E,$B$3)+SUMIFS(Partidos!$O:$O,Partidos!$C:$C,Partidos!$X$2,Partidos!$F:$F,$B$3,Partidos!$G:$G,$A52)+SUMIFS(Partidos!$O:$O,Partidos!$C:$C,Partidos!$X$2,Partidos!$F:$F,$A52,Partidos!$G:$G,$B$3)))</f>
        <v/>
      </c>
      <c r="J52" s="10" t="str">
        <f>IF($A52="","",IF($A52="","",SUMIFS(Partidos!$O:$O,Partidos!$C:$C,Partidos!$X$2,Partidos!$D:$D,$B$3,Partidos!$E:$E,$A52)+SUMIFS(Partidos!$O:$O,Partidos!$C:$C,Partidos!$X$2,Partidos!$D:$D,$A52,Partidos!$E:$E,$B$3)+SUMIFS(Partidos!$N:$N,Partidos!$C:$C,Partidos!$X$2,Partidos!$F:$F,$B$3,Partidos!$G:$G,$A52)+SUMIFS(Partidos!$N:$N,Partidos!$C:$C,Partidos!$X$2,Partidos!$F:$F,$A52,Partidos!$G:$G,$B$3)))</f>
        <v/>
      </c>
      <c r="K52" s="10" t="str">
        <f t="shared" si="8"/>
        <v/>
      </c>
      <c r="L52" t="str">
        <f t="shared" si="9"/>
        <v/>
      </c>
      <c r="T52" t="str">
        <f t="shared" si="10"/>
        <v/>
      </c>
    </row>
    <row r="53" spans="1:20" x14ac:dyDescent="0.3">
      <c r="A53" s="9" t="str">
        <f>IF(Jugadores!B49="","",IF(Jugadores!B49=$B$3,"",Jugadores!B49))</f>
        <v/>
      </c>
      <c r="B53" s="2" t="str">
        <f>IF($A53="","",COUNTIFS(Partidos!$C:$C,Partidos!$X$2,Partidos!$D:$D,$B$3,Partidos!$E:$E,$A53)+COUNTIFS(Partidos!$C:$C,Partidos!$X$2,Partidos!$D:$D,$A53,Partidos!$E:$E,$B$3)+COUNTIFS(Partidos!$C:$C,Partidos!$X$2,Partidos!$F:$F,$B$3,Partidos!$G:$G,$A53)+COUNTIFS(Partidos!$C:$C,Partidos!$X$2,Partidos!$F:$F,$A53,Partidos!$G:$G,$B$3))</f>
        <v/>
      </c>
      <c r="C53" s="2" t="str">
        <f>IF($A53="","",COUNTIFS(Partidos!$C:$C,Partidos!$X$2,Partidos!$P:$P,"A",Partidos!$D:$D,$B$3,Partidos!$E:$E,$A53)+COUNTIFS(Partidos!$C:$C,Partidos!$X$2,Partidos!$P:$P,"A",Partidos!$D:$D,$A53,Partidos!$E:$E,$B$3)+COUNTIFS(Partidos!$C:$C,Partidos!$X$2,Partidos!$P:$P,"B",Partidos!$F:$F,$B$3,Partidos!$G:$G,$A53)+COUNTIFS(Partidos!$C:$C,Partidos!$X$2,Partidos!$P:$P,"B",Partidos!$F:$F,$A53,Partidos!$G:$G,$B$3))</f>
        <v/>
      </c>
      <c r="D53" s="2" t="str">
        <f t="shared" si="6"/>
        <v/>
      </c>
      <c r="E53" s="45" t="str">
        <f t="shared" si="2"/>
        <v/>
      </c>
      <c r="F53" s="10" t="str">
        <f>IF($A53="","",SUMIFS(Partidos!$Q:$Q,Partidos!$C:$C,Partidos!$X$2,Partidos!$D:$D,$B$3,Partidos!$E:$E,$A53)+SUMIFS(Partidos!$Q:$Q,Partidos!$C:$C,Partidos!$X$2,Partidos!$D:$D,$A53,Partidos!$E:$E,$B$3)+SUMIFS(Partidos!$R:$R,Partidos!$C:$C,Partidos!$X$2,Partidos!$F:$F,$B$3,Partidos!$G:$G,$A53)+SUMIFS(Partidos!$R:$R,Partidos!$C:$C,Partidos!$X$2,Partidos!$F:$F,$A53,Partidos!$G:$G,$B$3))</f>
        <v/>
      </c>
      <c r="G53" s="10" t="str">
        <f>IF($A53="","",SUMIFS(Partidos!$R:$R,Partidos!$C:$C,Partidos!$X$2,Partidos!$D:$D,$B$3,Partidos!$E:$E,$A53)+SUMIFS(Partidos!$R:$R,Partidos!$C:$C,Partidos!$X$2,Partidos!$D:$D,$A53,Partidos!$E:$E,$B$3)+SUMIFS(Partidos!$Q:$Q,Partidos!$C:$C,Partidos!$X$2,Partidos!$F:$F,$B$3,Partidos!$G:$G,$A53)+SUMIFS(Partidos!$Q:$Q,Partidos!$C:$C,Partidos!$X$2,Partidos!$F:$F,$A53,Partidos!$G:$G,$B$3))</f>
        <v/>
      </c>
      <c r="H53" s="10" t="str">
        <f t="shared" si="7"/>
        <v/>
      </c>
      <c r="I53" s="10" t="str">
        <f>IF($A53="","",IF($A53="","",SUMIFS(Partidos!$N:$N,Partidos!$C:$C,Partidos!$X$2,Partidos!$D:$D,$B$3,Partidos!$E:$E,$A53)+SUMIFS(Partidos!$N:$N,Partidos!$C:$C,Partidos!$X$2,Partidos!$D:$D,$A53,Partidos!$E:$E,$B$3)+SUMIFS(Partidos!$O:$O,Partidos!$C:$C,Partidos!$X$2,Partidos!$F:$F,$B$3,Partidos!$G:$G,$A53)+SUMIFS(Partidos!$O:$O,Partidos!$C:$C,Partidos!$X$2,Partidos!$F:$F,$A53,Partidos!$G:$G,$B$3)))</f>
        <v/>
      </c>
      <c r="J53" s="10" t="str">
        <f>IF($A53="","",IF($A53="","",SUMIFS(Partidos!$O:$O,Partidos!$C:$C,Partidos!$X$2,Partidos!$D:$D,$B$3,Partidos!$E:$E,$A53)+SUMIFS(Partidos!$O:$O,Partidos!$C:$C,Partidos!$X$2,Partidos!$D:$D,$A53,Partidos!$E:$E,$B$3)+SUMIFS(Partidos!$N:$N,Partidos!$C:$C,Partidos!$X$2,Partidos!$F:$F,$B$3,Partidos!$G:$G,$A53)+SUMIFS(Partidos!$N:$N,Partidos!$C:$C,Partidos!$X$2,Partidos!$F:$F,$A53,Partidos!$G:$G,$B$3)))</f>
        <v/>
      </c>
      <c r="K53" s="10" t="str">
        <f t="shared" si="8"/>
        <v/>
      </c>
      <c r="L53" t="str">
        <f t="shared" si="9"/>
        <v/>
      </c>
      <c r="T53" t="str">
        <f t="shared" si="10"/>
        <v/>
      </c>
    </row>
    <row r="54" spans="1:20" x14ac:dyDescent="0.3">
      <c r="A54" s="9" t="str">
        <f>IF(Jugadores!B50="","",IF(Jugadores!B50=$B$3,"",Jugadores!B50))</f>
        <v/>
      </c>
      <c r="B54" s="2" t="str">
        <f>IF($A54="","",COUNTIFS(Partidos!$C:$C,Partidos!$X$2,Partidos!$D:$D,$B$3,Partidos!$E:$E,$A54)+COUNTIFS(Partidos!$C:$C,Partidos!$X$2,Partidos!$D:$D,$A54,Partidos!$E:$E,$B$3)+COUNTIFS(Partidos!$C:$C,Partidos!$X$2,Partidos!$F:$F,$B$3,Partidos!$G:$G,$A54)+COUNTIFS(Partidos!$C:$C,Partidos!$X$2,Partidos!$F:$F,$A54,Partidos!$G:$G,$B$3))</f>
        <v/>
      </c>
      <c r="C54" s="2" t="str">
        <f>IF($A54="","",COUNTIFS(Partidos!$C:$C,Partidos!$X$2,Partidos!$P:$P,"A",Partidos!$D:$D,$B$3,Partidos!$E:$E,$A54)+COUNTIFS(Partidos!$C:$C,Partidos!$X$2,Partidos!$P:$P,"A",Partidos!$D:$D,$A54,Partidos!$E:$E,$B$3)+COUNTIFS(Partidos!$C:$C,Partidos!$X$2,Partidos!$P:$P,"B",Partidos!$F:$F,$B$3,Partidos!$G:$G,$A54)+COUNTIFS(Partidos!$C:$C,Partidos!$X$2,Partidos!$P:$P,"B",Partidos!$F:$F,$A54,Partidos!$G:$G,$B$3))</f>
        <v/>
      </c>
      <c r="D54" s="2" t="str">
        <f t="shared" si="6"/>
        <v/>
      </c>
      <c r="E54" s="45" t="str">
        <f t="shared" si="2"/>
        <v/>
      </c>
      <c r="F54" s="10" t="str">
        <f>IF($A54="","",SUMIFS(Partidos!$Q:$Q,Partidos!$C:$C,Partidos!$X$2,Partidos!$D:$D,$B$3,Partidos!$E:$E,$A54)+SUMIFS(Partidos!$Q:$Q,Partidos!$C:$C,Partidos!$X$2,Partidos!$D:$D,$A54,Partidos!$E:$E,$B$3)+SUMIFS(Partidos!$R:$R,Partidos!$C:$C,Partidos!$X$2,Partidos!$F:$F,$B$3,Partidos!$G:$G,$A54)+SUMIFS(Partidos!$R:$R,Partidos!$C:$C,Partidos!$X$2,Partidos!$F:$F,$A54,Partidos!$G:$G,$B$3))</f>
        <v/>
      </c>
      <c r="G54" s="10" t="str">
        <f>IF($A54="","",SUMIFS(Partidos!$R:$R,Partidos!$C:$C,Partidos!$X$2,Partidos!$D:$D,$B$3,Partidos!$E:$E,$A54)+SUMIFS(Partidos!$R:$R,Partidos!$C:$C,Partidos!$X$2,Partidos!$D:$D,$A54,Partidos!$E:$E,$B$3)+SUMIFS(Partidos!$Q:$Q,Partidos!$C:$C,Partidos!$X$2,Partidos!$F:$F,$B$3,Partidos!$G:$G,$A54)+SUMIFS(Partidos!$Q:$Q,Partidos!$C:$C,Partidos!$X$2,Partidos!$F:$F,$A54,Partidos!$G:$G,$B$3))</f>
        <v/>
      </c>
      <c r="H54" s="10" t="str">
        <f t="shared" si="7"/>
        <v/>
      </c>
      <c r="I54" s="10" t="str">
        <f>IF($A54="","",IF($A54="","",SUMIFS(Partidos!$N:$N,Partidos!$C:$C,Partidos!$X$2,Partidos!$D:$D,$B$3,Partidos!$E:$E,$A54)+SUMIFS(Partidos!$N:$N,Partidos!$C:$C,Partidos!$X$2,Partidos!$D:$D,$A54,Partidos!$E:$E,$B$3)+SUMIFS(Partidos!$O:$O,Partidos!$C:$C,Partidos!$X$2,Partidos!$F:$F,$B$3,Partidos!$G:$G,$A54)+SUMIFS(Partidos!$O:$O,Partidos!$C:$C,Partidos!$X$2,Partidos!$F:$F,$A54,Partidos!$G:$G,$B$3)))</f>
        <v/>
      </c>
      <c r="J54" s="10" t="str">
        <f>IF($A54="","",IF($A54="","",SUMIFS(Partidos!$O:$O,Partidos!$C:$C,Partidos!$X$2,Partidos!$D:$D,$B$3,Partidos!$E:$E,$A54)+SUMIFS(Partidos!$O:$O,Partidos!$C:$C,Partidos!$X$2,Partidos!$D:$D,$A54,Partidos!$E:$E,$B$3)+SUMIFS(Partidos!$N:$N,Partidos!$C:$C,Partidos!$X$2,Partidos!$F:$F,$B$3,Partidos!$G:$G,$A54)+SUMIFS(Partidos!$N:$N,Partidos!$C:$C,Partidos!$X$2,Partidos!$F:$F,$A54,Partidos!$G:$G,$B$3)))</f>
        <v/>
      </c>
      <c r="K54" s="10" t="str">
        <f t="shared" si="8"/>
        <v/>
      </c>
      <c r="L54" t="str">
        <f t="shared" si="9"/>
        <v/>
      </c>
      <c r="T54" t="str">
        <f t="shared" si="10"/>
        <v/>
      </c>
    </row>
    <row r="55" spans="1:20" x14ac:dyDescent="0.3">
      <c r="A55" s="9" t="str">
        <f>IF(Jugadores!B51="","",IF(Jugadores!B51=$B$3,"",Jugadores!B51))</f>
        <v/>
      </c>
      <c r="B55" s="2" t="str">
        <f>IF($A55="","",COUNTIFS(Partidos!$C:$C,Partidos!$X$2,Partidos!$D:$D,$B$3,Partidos!$E:$E,$A55)+COUNTIFS(Partidos!$C:$C,Partidos!$X$2,Partidos!$D:$D,$A55,Partidos!$E:$E,$B$3)+COUNTIFS(Partidos!$C:$C,Partidos!$X$2,Partidos!$F:$F,$B$3,Partidos!$G:$G,$A55)+COUNTIFS(Partidos!$C:$C,Partidos!$X$2,Partidos!$F:$F,$A55,Partidos!$G:$G,$B$3))</f>
        <v/>
      </c>
      <c r="C55" s="2" t="str">
        <f>IF($A55="","",COUNTIFS(Partidos!$C:$C,Partidos!$X$2,Partidos!$P:$P,"A",Partidos!$D:$D,$B$3,Partidos!$E:$E,$A55)+COUNTIFS(Partidos!$C:$C,Partidos!$X$2,Partidos!$P:$P,"A",Partidos!$D:$D,$A55,Partidos!$E:$E,$B$3)+COUNTIFS(Partidos!$C:$C,Partidos!$X$2,Partidos!$P:$P,"B",Partidos!$F:$F,$B$3,Partidos!$G:$G,$A55)+COUNTIFS(Partidos!$C:$C,Partidos!$X$2,Partidos!$P:$P,"B",Partidos!$F:$F,$A55,Partidos!$G:$G,$B$3))</f>
        <v/>
      </c>
      <c r="D55" s="2" t="str">
        <f t="shared" si="6"/>
        <v/>
      </c>
      <c r="E55" s="45" t="str">
        <f t="shared" si="2"/>
        <v/>
      </c>
      <c r="F55" s="10" t="str">
        <f>IF($A55="","",SUMIFS(Partidos!$Q:$Q,Partidos!$C:$C,Partidos!$X$2,Partidos!$D:$D,$B$3,Partidos!$E:$E,$A55)+SUMIFS(Partidos!$Q:$Q,Partidos!$C:$C,Partidos!$X$2,Partidos!$D:$D,$A55,Partidos!$E:$E,$B$3)+SUMIFS(Partidos!$R:$R,Partidos!$C:$C,Partidos!$X$2,Partidos!$F:$F,$B$3,Partidos!$G:$G,$A55)+SUMIFS(Partidos!$R:$R,Partidos!$C:$C,Partidos!$X$2,Partidos!$F:$F,$A55,Partidos!$G:$G,$B$3))</f>
        <v/>
      </c>
      <c r="G55" s="10" t="str">
        <f>IF($A55="","",SUMIFS(Partidos!$R:$R,Partidos!$C:$C,Partidos!$X$2,Partidos!$D:$D,$B$3,Partidos!$E:$E,$A55)+SUMIFS(Partidos!$R:$R,Partidos!$C:$C,Partidos!$X$2,Partidos!$D:$D,$A55,Partidos!$E:$E,$B$3)+SUMIFS(Partidos!$Q:$Q,Partidos!$C:$C,Partidos!$X$2,Partidos!$F:$F,$B$3,Partidos!$G:$G,$A55)+SUMIFS(Partidos!$Q:$Q,Partidos!$C:$C,Partidos!$X$2,Partidos!$F:$F,$A55,Partidos!$G:$G,$B$3))</f>
        <v/>
      </c>
      <c r="H55" s="10" t="str">
        <f t="shared" si="7"/>
        <v/>
      </c>
      <c r="I55" s="10" t="str">
        <f>IF($A55="","",IF($A55="","",SUMIFS(Partidos!$N:$N,Partidos!$C:$C,Partidos!$X$2,Partidos!$D:$D,$B$3,Partidos!$E:$E,$A55)+SUMIFS(Partidos!$N:$N,Partidos!$C:$C,Partidos!$X$2,Partidos!$D:$D,$A55,Partidos!$E:$E,$B$3)+SUMIFS(Partidos!$O:$O,Partidos!$C:$C,Partidos!$X$2,Partidos!$F:$F,$B$3,Partidos!$G:$G,$A55)+SUMIFS(Partidos!$O:$O,Partidos!$C:$C,Partidos!$X$2,Partidos!$F:$F,$A55,Partidos!$G:$G,$B$3)))</f>
        <v/>
      </c>
      <c r="J55" s="10" t="str">
        <f>IF($A55="","",IF($A55="","",SUMIFS(Partidos!$O:$O,Partidos!$C:$C,Partidos!$X$2,Partidos!$D:$D,$B$3,Partidos!$E:$E,$A55)+SUMIFS(Partidos!$O:$O,Partidos!$C:$C,Partidos!$X$2,Partidos!$D:$D,$A55,Partidos!$E:$E,$B$3)+SUMIFS(Partidos!$N:$N,Partidos!$C:$C,Partidos!$X$2,Partidos!$F:$F,$B$3,Partidos!$G:$G,$A55)+SUMIFS(Partidos!$N:$N,Partidos!$C:$C,Partidos!$X$2,Partidos!$F:$F,$A55,Partidos!$G:$G,$B$3)))</f>
        <v/>
      </c>
      <c r="K55" s="10" t="str">
        <f t="shared" si="8"/>
        <v/>
      </c>
      <c r="L55" t="str">
        <f t="shared" si="9"/>
        <v/>
      </c>
      <c r="T55" t="str">
        <f t="shared" si="10"/>
        <v/>
      </c>
    </row>
    <row r="56" spans="1:20" x14ac:dyDescent="0.3">
      <c r="A56" s="9" t="str">
        <f>IF(Jugadores!B52="","",IF(Jugadores!B52=$B$3,"",Jugadores!B52))</f>
        <v/>
      </c>
      <c r="B56" s="2" t="str">
        <f>IF($A56="","",COUNTIFS(Partidos!$C:$C,Partidos!$X$2,Partidos!$D:$D,$B$3,Partidos!$E:$E,$A56)+COUNTIFS(Partidos!$C:$C,Partidos!$X$2,Partidos!$D:$D,$A56,Partidos!$E:$E,$B$3)+COUNTIFS(Partidos!$C:$C,Partidos!$X$2,Partidos!$F:$F,$B$3,Partidos!$G:$G,$A56)+COUNTIFS(Partidos!$C:$C,Partidos!$X$2,Partidos!$F:$F,$A56,Partidos!$G:$G,$B$3))</f>
        <v/>
      </c>
      <c r="C56" s="2" t="str">
        <f>IF($A56="","",COUNTIFS(Partidos!$C:$C,Partidos!$X$2,Partidos!$P:$P,"A",Partidos!$D:$D,$B$3,Partidos!$E:$E,$A56)+COUNTIFS(Partidos!$C:$C,Partidos!$X$2,Partidos!$P:$P,"A",Partidos!$D:$D,$A56,Partidos!$E:$E,$B$3)+COUNTIFS(Partidos!$C:$C,Partidos!$X$2,Partidos!$P:$P,"B",Partidos!$F:$F,$B$3,Partidos!$G:$G,$A56)+COUNTIFS(Partidos!$C:$C,Partidos!$X$2,Partidos!$P:$P,"B",Partidos!$F:$F,$A56,Partidos!$G:$G,$B$3))</f>
        <v/>
      </c>
      <c r="D56" s="2" t="str">
        <f t="shared" si="6"/>
        <v/>
      </c>
      <c r="E56" s="45" t="str">
        <f t="shared" si="2"/>
        <v/>
      </c>
      <c r="F56" s="10" t="str">
        <f>IF($A56="","",SUMIFS(Partidos!$Q:$Q,Partidos!$C:$C,Partidos!$X$2,Partidos!$D:$D,$B$3,Partidos!$E:$E,$A56)+SUMIFS(Partidos!$Q:$Q,Partidos!$C:$C,Partidos!$X$2,Partidos!$D:$D,$A56,Partidos!$E:$E,$B$3)+SUMIFS(Partidos!$R:$R,Partidos!$C:$C,Partidos!$X$2,Partidos!$F:$F,$B$3,Partidos!$G:$G,$A56)+SUMIFS(Partidos!$R:$R,Partidos!$C:$C,Partidos!$X$2,Partidos!$F:$F,$A56,Partidos!$G:$G,$B$3))</f>
        <v/>
      </c>
      <c r="G56" s="10" t="str">
        <f>IF($A56="","",SUMIFS(Partidos!$R:$R,Partidos!$C:$C,Partidos!$X$2,Partidos!$D:$D,$B$3,Partidos!$E:$E,$A56)+SUMIFS(Partidos!$R:$R,Partidos!$C:$C,Partidos!$X$2,Partidos!$D:$D,$A56,Partidos!$E:$E,$B$3)+SUMIFS(Partidos!$Q:$Q,Partidos!$C:$C,Partidos!$X$2,Partidos!$F:$F,$B$3,Partidos!$G:$G,$A56)+SUMIFS(Partidos!$Q:$Q,Partidos!$C:$C,Partidos!$X$2,Partidos!$F:$F,$A56,Partidos!$G:$G,$B$3))</f>
        <v/>
      </c>
      <c r="H56" s="10" t="str">
        <f t="shared" si="7"/>
        <v/>
      </c>
      <c r="I56" s="10" t="str">
        <f>IF($A56="","",IF($A56="","",SUMIFS(Partidos!$N:$N,Partidos!$C:$C,Partidos!$X$2,Partidos!$D:$D,$B$3,Partidos!$E:$E,$A56)+SUMIFS(Partidos!$N:$N,Partidos!$C:$C,Partidos!$X$2,Partidos!$D:$D,$A56,Partidos!$E:$E,$B$3)+SUMIFS(Partidos!$O:$O,Partidos!$C:$C,Partidos!$X$2,Partidos!$F:$F,$B$3,Partidos!$G:$G,$A56)+SUMIFS(Partidos!$O:$O,Partidos!$C:$C,Partidos!$X$2,Partidos!$F:$F,$A56,Partidos!$G:$G,$B$3)))</f>
        <v/>
      </c>
      <c r="J56" s="10" t="str">
        <f>IF($A56="","",IF($A56="","",SUMIFS(Partidos!$O:$O,Partidos!$C:$C,Partidos!$X$2,Partidos!$D:$D,$B$3,Partidos!$E:$E,$A56)+SUMIFS(Partidos!$O:$O,Partidos!$C:$C,Partidos!$X$2,Partidos!$D:$D,$A56,Partidos!$E:$E,$B$3)+SUMIFS(Partidos!$N:$N,Partidos!$C:$C,Partidos!$X$2,Partidos!$F:$F,$B$3,Partidos!$G:$G,$A56)+SUMIFS(Partidos!$N:$N,Partidos!$C:$C,Partidos!$X$2,Partidos!$F:$F,$A56,Partidos!$G:$G,$B$3)))</f>
        <v/>
      </c>
      <c r="K56" s="10" t="str">
        <f t="shared" si="8"/>
        <v/>
      </c>
      <c r="L56" t="str">
        <f t="shared" si="9"/>
        <v/>
      </c>
      <c r="T56" t="str">
        <f t="shared" si="10"/>
        <v/>
      </c>
    </row>
    <row r="57" spans="1:20" x14ac:dyDescent="0.3">
      <c r="A57" s="9" t="str">
        <f>IF(Jugadores!B53="","",IF(Jugadores!B53=$B$3,"",Jugadores!B53))</f>
        <v/>
      </c>
      <c r="B57" s="2" t="str">
        <f>IF($A57="","",COUNTIFS(Partidos!$C:$C,Partidos!$X$2,Partidos!$D:$D,$B$3,Partidos!$E:$E,$A57)+COUNTIFS(Partidos!$C:$C,Partidos!$X$2,Partidos!$D:$D,$A57,Partidos!$E:$E,$B$3)+COUNTIFS(Partidos!$C:$C,Partidos!$X$2,Partidos!$F:$F,$B$3,Partidos!$G:$G,$A57)+COUNTIFS(Partidos!$C:$C,Partidos!$X$2,Partidos!$F:$F,$A57,Partidos!$G:$G,$B$3))</f>
        <v/>
      </c>
      <c r="C57" s="2" t="str">
        <f>IF($A57="","",COUNTIFS(Partidos!$C:$C,Partidos!$X$2,Partidos!$P:$P,"A",Partidos!$D:$D,$B$3,Partidos!$E:$E,$A57)+COUNTIFS(Partidos!$C:$C,Partidos!$X$2,Partidos!$P:$P,"A",Partidos!$D:$D,$A57,Partidos!$E:$E,$B$3)+COUNTIFS(Partidos!$C:$C,Partidos!$X$2,Partidos!$P:$P,"B",Partidos!$F:$F,$B$3,Partidos!$G:$G,$A57)+COUNTIFS(Partidos!$C:$C,Partidos!$X$2,Partidos!$P:$P,"B",Partidos!$F:$F,$A57,Partidos!$G:$G,$B$3))</f>
        <v/>
      </c>
      <c r="D57" s="2" t="str">
        <f t="shared" si="6"/>
        <v/>
      </c>
      <c r="E57" s="45" t="str">
        <f t="shared" si="2"/>
        <v/>
      </c>
      <c r="F57" s="10" t="str">
        <f>IF($A57="","",SUMIFS(Partidos!$Q:$Q,Partidos!$C:$C,Partidos!$X$2,Partidos!$D:$D,$B$3,Partidos!$E:$E,$A57)+SUMIFS(Partidos!$Q:$Q,Partidos!$C:$C,Partidos!$X$2,Partidos!$D:$D,$A57,Partidos!$E:$E,$B$3)+SUMIFS(Partidos!$R:$R,Partidos!$C:$C,Partidos!$X$2,Partidos!$F:$F,$B$3,Partidos!$G:$G,$A57)+SUMIFS(Partidos!$R:$R,Partidos!$C:$C,Partidos!$X$2,Partidos!$F:$F,$A57,Partidos!$G:$G,$B$3))</f>
        <v/>
      </c>
      <c r="G57" s="10" t="str">
        <f>IF($A57="","",SUMIFS(Partidos!$R:$R,Partidos!$C:$C,Partidos!$X$2,Partidos!$D:$D,$B$3,Partidos!$E:$E,$A57)+SUMIFS(Partidos!$R:$R,Partidos!$C:$C,Partidos!$X$2,Partidos!$D:$D,$A57,Partidos!$E:$E,$B$3)+SUMIFS(Partidos!$Q:$Q,Partidos!$C:$C,Partidos!$X$2,Partidos!$F:$F,$B$3,Partidos!$G:$G,$A57)+SUMIFS(Partidos!$Q:$Q,Partidos!$C:$C,Partidos!$X$2,Partidos!$F:$F,$A57,Partidos!$G:$G,$B$3))</f>
        <v/>
      </c>
      <c r="H57" s="10" t="str">
        <f t="shared" si="7"/>
        <v/>
      </c>
      <c r="I57" s="10" t="str">
        <f>IF($A57="","",IF($A57="","",SUMIFS(Partidos!$N:$N,Partidos!$C:$C,Partidos!$X$2,Partidos!$D:$D,$B$3,Partidos!$E:$E,$A57)+SUMIFS(Partidos!$N:$N,Partidos!$C:$C,Partidos!$X$2,Partidos!$D:$D,$A57,Partidos!$E:$E,$B$3)+SUMIFS(Partidos!$O:$O,Partidos!$C:$C,Partidos!$X$2,Partidos!$F:$F,$B$3,Partidos!$G:$G,$A57)+SUMIFS(Partidos!$O:$O,Partidos!$C:$C,Partidos!$X$2,Partidos!$F:$F,$A57,Partidos!$G:$G,$B$3)))</f>
        <v/>
      </c>
      <c r="J57" s="10" t="str">
        <f>IF($A57="","",IF($A57="","",SUMIFS(Partidos!$O:$O,Partidos!$C:$C,Partidos!$X$2,Partidos!$D:$D,$B$3,Partidos!$E:$E,$A57)+SUMIFS(Partidos!$O:$O,Partidos!$C:$C,Partidos!$X$2,Partidos!$D:$D,$A57,Partidos!$E:$E,$B$3)+SUMIFS(Partidos!$N:$N,Partidos!$C:$C,Partidos!$X$2,Partidos!$F:$F,$B$3,Partidos!$G:$G,$A57)+SUMIFS(Partidos!$N:$N,Partidos!$C:$C,Partidos!$X$2,Partidos!$F:$F,$A57,Partidos!$G:$G,$B$3)))</f>
        <v/>
      </c>
      <c r="K57" s="10" t="str">
        <f t="shared" si="8"/>
        <v/>
      </c>
      <c r="L57" t="str">
        <f t="shared" si="9"/>
        <v/>
      </c>
      <c r="T57" t="str">
        <f t="shared" si="10"/>
        <v/>
      </c>
    </row>
    <row r="58" spans="1:20" x14ac:dyDescent="0.3">
      <c r="A58" s="9" t="str">
        <f>IF(Jugadores!B54="","",IF(Jugadores!B54=$B$3,"",Jugadores!B54))</f>
        <v/>
      </c>
      <c r="B58" s="2" t="str">
        <f>IF($A58="","",COUNTIFS(Partidos!$C:$C,Partidos!$X$2,Partidos!$D:$D,$B$3,Partidos!$E:$E,$A58)+COUNTIFS(Partidos!$C:$C,Partidos!$X$2,Partidos!$D:$D,$A58,Partidos!$E:$E,$B$3)+COUNTIFS(Partidos!$C:$C,Partidos!$X$2,Partidos!$F:$F,$B$3,Partidos!$G:$G,$A58)+COUNTIFS(Partidos!$C:$C,Partidos!$X$2,Partidos!$F:$F,$A58,Partidos!$G:$G,$B$3))</f>
        <v/>
      </c>
      <c r="C58" s="2" t="str">
        <f>IF($A58="","",COUNTIFS(Partidos!$C:$C,Partidos!$X$2,Partidos!$P:$P,"A",Partidos!$D:$D,$B$3,Partidos!$E:$E,$A58)+COUNTIFS(Partidos!$C:$C,Partidos!$X$2,Partidos!$P:$P,"A",Partidos!$D:$D,$A58,Partidos!$E:$E,$B$3)+COUNTIFS(Partidos!$C:$C,Partidos!$X$2,Partidos!$P:$P,"B",Partidos!$F:$F,$B$3,Partidos!$G:$G,$A58)+COUNTIFS(Partidos!$C:$C,Partidos!$X$2,Partidos!$P:$P,"B",Partidos!$F:$F,$A58,Partidos!$G:$G,$B$3))</f>
        <v/>
      </c>
      <c r="D58" s="2" t="str">
        <f t="shared" si="6"/>
        <v/>
      </c>
      <c r="E58" s="45" t="str">
        <f t="shared" si="2"/>
        <v/>
      </c>
      <c r="F58" s="10" t="str">
        <f>IF($A58="","",SUMIFS(Partidos!$Q:$Q,Partidos!$C:$C,Partidos!$X$2,Partidos!$D:$D,$B$3,Partidos!$E:$E,$A58)+SUMIFS(Partidos!$Q:$Q,Partidos!$C:$C,Partidos!$X$2,Partidos!$D:$D,$A58,Partidos!$E:$E,$B$3)+SUMIFS(Partidos!$R:$R,Partidos!$C:$C,Partidos!$X$2,Partidos!$F:$F,$B$3,Partidos!$G:$G,$A58)+SUMIFS(Partidos!$R:$R,Partidos!$C:$C,Partidos!$X$2,Partidos!$F:$F,$A58,Partidos!$G:$G,$B$3))</f>
        <v/>
      </c>
      <c r="G58" s="10" t="str">
        <f>IF($A58="","",SUMIFS(Partidos!$R:$R,Partidos!$C:$C,Partidos!$X$2,Partidos!$D:$D,$B$3,Partidos!$E:$E,$A58)+SUMIFS(Partidos!$R:$R,Partidos!$C:$C,Partidos!$X$2,Partidos!$D:$D,$A58,Partidos!$E:$E,$B$3)+SUMIFS(Partidos!$Q:$Q,Partidos!$C:$C,Partidos!$X$2,Partidos!$F:$F,$B$3,Partidos!$G:$G,$A58)+SUMIFS(Partidos!$Q:$Q,Partidos!$C:$C,Partidos!$X$2,Partidos!$F:$F,$A58,Partidos!$G:$G,$B$3))</f>
        <v/>
      </c>
      <c r="H58" s="10" t="str">
        <f t="shared" si="7"/>
        <v/>
      </c>
      <c r="I58" s="10" t="str">
        <f>IF($A58="","",IF($A58="","",SUMIFS(Partidos!$N:$N,Partidos!$C:$C,Partidos!$X$2,Partidos!$D:$D,$B$3,Partidos!$E:$E,$A58)+SUMIFS(Partidos!$N:$N,Partidos!$C:$C,Partidos!$X$2,Partidos!$D:$D,$A58,Partidos!$E:$E,$B$3)+SUMIFS(Partidos!$O:$O,Partidos!$C:$C,Partidos!$X$2,Partidos!$F:$F,$B$3,Partidos!$G:$G,$A58)+SUMIFS(Partidos!$O:$O,Partidos!$C:$C,Partidos!$X$2,Partidos!$F:$F,$A58,Partidos!$G:$G,$B$3)))</f>
        <v/>
      </c>
      <c r="J58" s="10" t="str">
        <f>IF($A58="","",IF($A58="","",SUMIFS(Partidos!$O:$O,Partidos!$C:$C,Partidos!$X$2,Partidos!$D:$D,$B$3,Partidos!$E:$E,$A58)+SUMIFS(Partidos!$O:$O,Partidos!$C:$C,Partidos!$X$2,Partidos!$D:$D,$A58,Partidos!$E:$E,$B$3)+SUMIFS(Partidos!$N:$N,Partidos!$C:$C,Partidos!$X$2,Partidos!$F:$F,$B$3,Partidos!$G:$G,$A58)+SUMIFS(Partidos!$N:$N,Partidos!$C:$C,Partidos!$X$2,Partidos!$F:$F,$A58,Partidos!$G:$G,$B$3)))</f>
        <v/>
      </c>
      <c r="K58" s="10" t="str">
        <f t="shared" si="8"/>
        <v/>
      </c>
      <c r="L58" t="str">
        <f t="shared" si="9"/>
        <v/>
      </c>
      <c r="T58" t="str">
        <f t="shared" si="10"/>
        <v/>
      </c>
    </row>
    <row r="59" spans="1:20" x14ac:dyDescent="0.3">
      <c r="A59" s="9" t="str">
        <f>IF(Jugadores!B55="","",IF(Jugadores!B55=$B$3,"",Jugadores!B55))</f>
        <v/>
      </c>
      <c r="B59" s="2" t="str">
        <f>IF($A59="","",COUNTIFS(Partidos!$C:$C,Partidos!$X$2,Partidos!$D:$D,$B$3,Partidos!$E:$E,$A59)+COUNTIFS(Partidos!$C:$C,Partidos!$X$2,Partidos!$D:$D,$A59,Partidos!$E:$E,$B$3)+COUNTIFS(Partidos!$C:$C,Partidos!$X$2,Partidos!$F:$F,$B$3,Partidos!$G:$G,$A59)+COUNTIFS(Partidos!$C:$C,Partidos!$X$2,Partidos!$F:$F,$A59,Partidos!$G:$G,$B$3))</f>
        <v/>
      </c>
      <c r="C59" s="2" t="str">
        <f>IF($A59="","",COUNTIFS(Partidos!$C:$C,Partidos!$X$2,Partidos!$P:$P,"A",Partidos!$D:$D,$B$3,Partidos!$E:$E,$A59)+COUNTIFS(Partidos!$C:$C,Partidos!$X$2,Partidos!$P:$P,"A",Partidos!$D:$D,$A59,Partidos!$E:$E,$B$3)+COUNTIFS(Partidos!$C:$C,Partidos!$X$2,Partidos!$P:$P,"B",Partidos!$F:$F,$B$3,Partidos!$G:$G,$A59)+COUNTIFS(Partidos!$C:$C,Partidos!$X$2,Partidos!$P:$P,"B",Partidos!$F:$F,$A59,Partidos!$G:$G,$B$3))</f>
        <v/>
      </c>
      <c r="D59" s="2" t="str">
        <f t="shared" si="6"/>
        <v/>
      </c>
      <c r="E59" s="45" t="str">
        <f t="shared" si="2"/>
        <v/>
      </c>
      <c r="F59" s="10" t="str">
        <f>IF($A59="","",SUMIFS(Partidos!$Q:$Q,Partidos!$C:$C,Partidos!$X$2,Partidos!$D:$D,$B$3,Partidos!$E:$E,$A59)+SUMIFS(Partidos!$Q:$Q,Partidos!$C:$C,Partidos!$X$2,Partidos!$D:$D,$A59,Partidos!$E:$E,$B$3)+SUMIFS(Partidos!$R:$R,Partidos!$C:$C,Partidos!$X$2,Partidos!$F:$F,$B$3,Partidos!$G:$G,$A59)+SUMIFS(Partidos!$R:$R,Partidos!$C:$C,Partidos!$X$2,Partidos!$F:$F,$A59,Partidos!$G:$G,$B$3))</f>
        <v/>
      </c>
      <c r="G59" s="10" t="str">
        <f>IF($A59="","",SUMIFS(Partidos!$R:$R,Partidos!$C:$C,Partidos!$X$2,Partidos!$D:$D,$B$3,Partidos!$E:$E,$A59)+SUMIFS(Partidos!$R:$R,Partidos!$C:$C,Partidos!$X$2,Partidos!$D:$D,$A59,Partidos!$E:$E,$B$3)+SUMIFS(Partidos!$Q:$Q,Partidos!$C:$C,Partidos!$X$2,Partidos!$F:$F,$B$3,Partidos!$G:$G,$A59)+SUMIFS(Partidos!$Q:$Q,Partidos!$C:$C,Partidos!$X$2,Partidos!$F:$F,$A59,Partidos!$G:$G,$B$3))</f>
        <v/>
      </c>
      <c r="H59" s="10" t="str">
        <f t="shared" si="7"/>
        <v/>
      </c>
      <c r="I59" s="10" t="str">
        <f>IF($A59="","",IF($A59="","",SUMIFS(Partidos!$N:$N,Partidos!$C:$C,Partidos!$X$2,Partidos!$D:$D,$B$3,Partidos!$E:$E,$A59)+SUMIFS(Partidos!$N:$N,Partidos!$C:$C,Partidos!$X$2,Partidos!$D:$D,$A59,Partidos!$E:$E,$B$3)+SUMIFS(Partidos!$O:$O,Partidos!$C:$C,Partidos!$X$2,Partidos!$F:$F,$B$3,Partidos!$G:$G,$A59)+SUMIFS(Partidos!$O:$O,Partidos!$C:$C,Partidos!$X$2,Partidos!$F:$F,$A59,Partidos!$G:$G,$B$3)))</f>
        <v/>
      </c>
      <c r="J59" s="10" t="str">
        <f>IF($A59="","",IF($A59="","",SUMIFS(Partidos!$O:$O,Partidos!$C:$C,Partidos!$X$2,Partidos!$D:$D,$B$3,Partidos!$E:$E,$A59)+SUMIFS(Partidos!$O:$O,Partidos!$C:$C,Partidos!$X$2,Partidos!$D:$D,$A59,Partidos!$E:$E,$B$3)+SUMIFS(Partidos!$N:$N,Partidos!$C:$C,Partidos!$X$2,Partidos!$F:$F,$B$3,Partidos!$G:$G,$A59)+SUMIFS(Partidos!$N:$N,Partidos!$C:$C,Partidos!$X$2,Partidos!$F:$F,$A59,Partidos!$G:$G,$B$3)))</f>
        <v/>
      </c>
      <c r="K59" s="10" t="str">
        <f t="shared" si="8"/>
        <v/>
      </c>
      <c r="L59" t="str">
        <f t="shared" si="9"/>
        <v/>
      </c>
      <c r="T59" t="str">
        <f t="shared" si="10"/>
        <v/>
      </c>
    </row>
    <row r="60" spans="1:20" x14ac:dyDescent="0.3">
      <c r="A60" s="9" t="str">
        <f>IF(Jugadores!B56="","",IF(Jugadores!B56=$B$3,"",Jugadores!B56))</f>
        <v/>
      </c>
      <c r="B60" s="2" t="str">
        <f>IF($A60="","",COUNTIFS(Partidos!$C:$C,Partidos!$X$2,Partidos!$D:$D,$B$3,Partidos!$E:$E,$A60)+COUNTIFS(Partidos!$C:$C,Partidos!$X$2,Partidos!$D:$D,$A60,Partidos!$E:$E,$B$3)+COUNTIFS(Partidos!$C:$C,Partidos!$X$2,Partidos!$F:$F,$B$3,Partidos!$G:$G,$A60)+COUNTIFS(Partidos!$C:$C,Partidos!$X$2,Partidos!$F:$F,$A60,Partidos!$G:$G,$B$3))</f>
        <v/>
      </c>
      <c r="C60" s="2" t="str">
        <f>IF($A60="","",COUNTIFS(Partidos!$C:$C,Partidos!$X$2,Partidos!$P:$P,"A",Partidos!$D:$D,$B$3,Partidos!$E:$E,$A60)+COUNTIFS(Partidos!$C:$C,Partidos!$X$2,Partidos!$P:$P,"A",Partidos!$D:$D,$A60,Partidos!$E:$E,$B$3)+COUNTIFS(Partidos!$C:$C,Partidos!$X$2,Partidos!$P:$P,"B",Partidos!$F:$F,$B$3,Partidos!$G:$G,$A60)+COUNTIFS(Partidos!$C:$C,Partidos!$X$2,Partidos!$P:$P,"B",Partidos!$F:$F,$A60,Partidos!$G:$G,$B$3))</f>
        <v/>
      </c>
      <c r="D60" s="2" t="str">
        <f t="shared" si="6"/>
        <v/>
      </c>
      <c r="E60" s="45" t="str">
        <f t="shared" si="2"/>
        <v/>
      </c>
      <c r="F60" s="10" t="str">
        <f>IF($A60="","",SUMIFS(Partidos!$Q:$Q,Partidos!$C:$C,Partidos!$X$2,Partidos!$D:$D,$B$3,Partidos!$E:$E,$A60)+SUMIFS(Partidos!$Q:$Q,Partidos!$C:$C,Partidos!$X$2,Partidos!$D:$D,$A60,Partidos!$E:$E,$B$3)+SUMIFS(Partidos!$R:$R,Partidos!$C:$C,Partidos!$X$2,Partidos!$F:$F,$B$3,Partidos!$G:$G,$A60)+SUMIFS(Partidos!$R:$R,Partidos!$C:$C,Partidos!$X$2,Partidos!$F:$F,$A60,Partidos!$G:$G,$B$3))</f>
        <v/>
      </c>
      <c r="G60" s="10" t="str">
        <f>IF($A60="","",SUMIFS(Partidos!$R:$R,Partidos!$C:$C,Partidos!$X$2,Partidos!$D:$D,$B$3,Partidos!$E:$E,$A60)+SUMIFS(Partidos!$R:$R,Partidos!$C:$C,Partidos!$X$2,Partidos!$D:$D,$A60,Partidos!$E:$E,$B$3)+SUMIFS(Partidos!$Q:$Q,Partidos!$C:$C,Partidos!$X$2,Partidos!$F:$F,$B$3,Partidos!$G:$G,$A60)+SUMIFS(Partidos!$Q:$Q,Partidos!$C:$C,Partidos!$X$2,Partidos!$F:$F,$A60,Partidos!$G:$G,$B$3))</f>
        <v/>
      </c>
      <c r="H60" s="10" t="str">
        <f t="shared" si="7"/>
        <v/>
      </c>
      <c r="I60" s="10" t="str">
        <f>IF($A60="","",IF($A60="","",SUMIFS(Partidos!$N:$N,Partidos!$C:$C,Partidos!$X$2,Partidos!$D:$D,$B$3,Partidos!$E:$E,$A60)+SUMIFS(Partidos!$N:$N,Partidos!$C:$C,Partidos!$X$2,Partidos!$D:$D,$A60,Partidos!$E:$E,$B$3)+SUMIFS(Partidos!$O:$O,Partidos!$C:$C,Partidos!$X$2,Partidos!$F:$F,$B$3,Partidos!$G:$G,$A60)+SUMIFS(Partidos!$O:$O,Partidos!$C:$C,Partidos!$X$2,Partidos!$F:$F,$A60,Partidos!$G:$G,$B$3)))</f>
        <v/>
      </c>
      <c r="J60" s="10" t="str">
        <f>IF($A60="","",IF($A60="","",SUMIFS(Partidos!$O:$O,Partidos!$C:$C,Partidos!$X$2,Partidos!$D:$D,$B$3,Partidos!$E:$E,$A60)+SUMIFS(Partidos!$O:$O,Partidos!$C:$C,Partidos!$X$2,Partidos!$D:$D,$A60,Partidos!$E:$E,$B$3)+SUMIFS(Partidos!$N:$N,Partidos!$C:$C,Partidos!$X$2,Partidos!$F:$F,$B$3,Partidos!$G:$G,$A60)+SUMIFS(Partidos!$N:$N,Partidos!$C:$C,Partidos!$X$2,Partidos!$F:$F,$A60,Partidos!$G:$G,$B$3)))</f>
        <v/>
      </c>
      <c r="K60" s="10" t="str">
        <f t="shared" si="8"/>
        <v/>
      </c>
      <c r="L60" t="str">
        <f t="shared" si="9"/>
        <v/>
      </c>
      <c r="T60" t="str">
        <f t="shared" si="10"/>
        <v/>
      </c>
    </row>
    <row r="61" spans="1:20" x14ac:dyDescent="0.3">
      <c r="A61" s="9" t="str">
        <f>IF(Jugadores!B57="","",IF(Jugadores!B57=$B$3,"",Jugadores!B57))</f>
        <v/>
      </c>
      <c r="B61" s="2" t="str">
        <f>IF($A61="","",COUNTIFS(Partidos!$C:$C,Partidos!$X$2,Partidos!$D:$D,$B$3,Partidos!$E:$E,$A61)+COUNTIFS(Partidos!$C:$C,Partidos!$X$2,Partidos!$D:$D,$A61,Partidos!$E:$E,$B$3)+COUNTIFS(Partidos!$C:$C,Partidos!$X$2,Partidos!$F:$F,$B$3,Partidos!$G:$G,$A61)+COUNTIFS(Partidos!$C:$C,Partidos!$X$2,Partidos!$F:$F,$A61,Partidos!$G:$G,$B$3))</f>
        <v/>
      </c>
      <c r="C61" s="2" t="str">
        <f>IF($A61="","",COUNTIFS(Partidos!$C:$C,Partidos!$X$2,Partidos!$P:$P,"A",Partidos!$D:$D,$B$3,Partidos!$E:$E,$A61)+COUNTIFS(Partidos!$C:$C,Partidos!$X$2,Partidos!$P:$P,"A",Partidos!$D:$D,$A61,Partidos!$E:$E,$B$3)+COUNTIFS(Partidos!$C:$C,Partidos!$X$2,Partidos!$P:$P,"B",Partidos!$F:$F,$B$3,Partidos!$G:$G,$A61)+COUNTIFS(Partidos!$C:$C,Partidos!$X$2,Partidos!$P:$P,"B",Partidos!$F:$F,$A61,Partidos!$G:$G,$B$3))</f>
        <v/>
      </c>
      <c r="D61" s="2" t="str">
        <f t="shared" si="6"/>
        <v/>
      </c>
      <c r="E61" s="45" t="str">
        <f t="shared" si="2"/>
        <v/>
      </c>
      <c r="F61" s="10" t="str">
        <f>IF($A61="","",SUMIFS(Partidos!$Q:$Q,Partidos!$C:$C,Partidos!$X$2,Partidos!$D:$D,$B$3,Partidos!$E:$E,$A61)+SUMIFS(Partidos!$Q:$Q,Partidos!$C:$C,Partidos!$X$2,Partidos!$D:$D,$A61,Partidos!$E:$E,$B$3)+SUMIFS(Partidos!$R:$R,Partidos!$C:$C,Partidos!$X$2,Partidos!$F:$F,$B$3,Partidos!$G:$G,$A61)+SUMIFS(Partidos!$R:$R,Partidos!$C:$C,Partidos!$X$2,Partidos!$F:$F,$A61,Partidos!$G:$G,$B$3))</f>
        <v/>
      </c>
      <c r="G61" s="10" t="str">
        <f>IF($A61="","",SUMIFS(Partidos!$R:$R,Partidos!$C:$C,Partidos!$X$2,Partidos!$D:$D,$B$3,Partidos!$E:$E,$A61)+SUMIFS(Partidos!$R:$R,Partidos!$C:$C,Partidos!$X$2,Partidos!$D:$D,$A61,Partidos!$E:$E,$B$3)+SUMIFS(Partidos!$Q:$Q,Partidos!$C:$C,Partidos!$X$2,Partidos!$F:$F,$B$3,Partidos!$G:$G,$A61)+SUMIFS(Partidos!$Q:$Q,Partidos!$C:$C,Partidos!$X$2,Partidos!$F:$F,$A61,Partidos!$G:$G,$B$3))</f>
        <v/>
      </c>
      <c r="H61" s="10" t="str">
        <f t="shared" si="7"/>
        <v/>
      </c>
      <c r="I61" s="10" t="str">
        <f>IF($A61="","",IF($A61="","",SUMIFS(Partidos!$N:$N,Partidos!$C:$C,Partidos!$X$2,Partidos!$D:$D,$B$3,Partidos!$E:$E,$A61)+SUMIFS(Partidos!$N:$N,Partidos!$C:$C,Partidos!$X$2,Partidos!$D:$D,$A61,Partidos!$E:$E,$B$3)+SUMIFS(Partidos!$O:$O,Partidos!$C:$C,Partidos!$X$2,Partidos!$F:$F,$B$3,Partidos!$G:$G,$A61)+SUMIFS(Partidos!$O:$O,Partidos!$C:$C,Partidos!$X$2,Partidos!$F:$F,$A61,Partidos!$G:$G,$B$3)))</f>
        <v/>
      </c>
      <c r="J61" s="10" t="str">
        <f>IF($A61="","",IF($A61="","",SUMIFS(Partidos!$O:$O,Partidos!$C:$C,Partidos!$X$2,Partidos!$D:$D,$B$3,Partidos!$E:$E,$A61)+SUMIFS(Partidos!$O:$O,Partidos!$C:$C,Partidos!$X$2,Partidos!$D:$D,$A61,Partidos!$E:$E,$B$3)+SUMIFS(Partidos!$N:$N,Partidos!$C:$C,Partidos!$X$2,Partidos!$F:$F,$B$3,Partidos!$G:$G,$A61)+SUMIFS(Partidos!$N:$N,Partidos!$C:$C,Partidos!$X$2,Partidos!$F:$F,$A61,Partidos!$G:$G,$B$3)))</f>
        <v/>
      </c>
      <c r="K61" s="10" t="str">
        <f t="shared" si="8"/>
        <v/>
      </c>
      <c r="L61" t="str">
        <f t="shared" si="9"/>
        <v/>
      </c>
      <c r="T61" t="str">
        <f t="shared" si="10"/>
        <v/>
      </c>
    </row>
    <row r="62" spans="1:20" x14ac:dyDescent="0.3">
      <c r="A62" s="9" t="str">
        <f>IF(Jugadores!B58="","",IF(Jugadores!B58=$B$3,"",Jugadores!B58))</f>
        <v/>
      </c>
      <c r="B62" s="2" t="str">
        <f>IF($A62="","",COUNTIFS(Partidos!$C:$C,Partidos!$X$2,Partidos!$D:$D,$B$3,Partidos!$E:$E,$A62)+COUNTIFS(Partidos!$C:$C,Partidos!$X$2,Partidos!$D:$D,$A62,Partidos!$E:$E,$B$3)+COUNTIFS(Partidos!$C:$C,Partidos!$X$2,Partidos!$F:$F,$B$3,Partidos!$G:$G,$A62)+COUNTIFS(Partidos!$C:$C,Partidos!$X$2,Partidos!$F:$F,$A62,Partidos!$G:$G,$B$3))</f>
        <v/>
      </c>
      <c r="C62" s="2" t="str">
        <f>IF($A62="","",COUNTIFS(Partidos!$C:$C,Partidos!$X$2,Partidos!$P:$P,"A",Partidos!$D:$D,$B$3,Partidos!$E:$E,$A62)+COUNTIFS(Partidos!$C:$C,Partidos!$X$2,Partidos!$P:$P,"A",Partidos!$D:$D,$A62,Partidos!$E:$E,$B$3)+COUNTIFS(Partidos!$C:$C,Partidos!$X$2,Partidos!$P:$P,"B",Partidos!$F:$F,$B$3,Partidos!$G:$G,$A62)+COUNTIFS(Partidos!$C:$C,Partidos!$X$2,Partidos!$P:$P,"B",Partidos!$F:$F,$A62,Partidos!$G:$G,$B$3))</f>
        <v/>
      </c>
      <c r="D62" s="2" t="str">
        <f t="shared" si="6"/>
        <v/>
      </c>
      <c r="E62" s="45" t="str">
        <f t="shared" si="2"/>
        <v/>
      </c>
      <c r="F62" s="10" t="str">
        <f>IF($A62="","",SUMIFS(Partidos!$Q:$Q,Partidos!$C:$C,Partidos!$X$2,Partidos!$D:$D,$B$3,Partidos!$E:$E,$A62)+SUMIFS(Partidos!$Q:$Q,Partidos!$C:$C,Partidos!$X$2,Partidos!$D:$D,$A62,Partidos!$E:$E,$B$3)+SUMIFS(Partidos!$R:$R,Partidos!$C:$C,Partidos!$X$2,Partidos!$F:$F,$B$3,Partidos!$G:$G,$A62)+SUMIFS(Partidos!$R:$R,Partidos!$C:$C,Partidos!$X$2,Partidos!$F:$F,$A62,Partidos!$G:$G,$B$3))</f>
        <v/>
      </c>
      <c r="G62" s="10" t="str">
        <f>IF($A62="","",SUMIFS(Partidos!$R:$R,Partidos!$C:$C,Partidos!$X$2,Partidos!$D:$D,$B$3,Partidos!$E:$E,$A62)+SUMIFS(Partidos!$R:$R,Partidos!$C:$C,Partidos!$X$2,Partidos!$D:$D,$A62,Partidos!$E:$E,$B$3)+SUMIFS(Partidos!$Q:$Q,Partidos!$C:$C,Partidos!$X$2,Partidos!$F:$F,$B$3,Partidos!$G:$G,$A62)+SUMIFS(Partidos!$Q:$Q,Partidos!$C:$C,Partidos!$X$2,Partidos!$F:$F,$A62,Partidos!$G:$G,$B$3))</f>
        <v/>
      </c>
      <c r="H62" s="10" t="str">
        <f t="shared" si="7"/>
        <v/>
      </c>
      <c r="I62" s="10" t="str">
        <f>IF($A62="","",IF($A62="","",SUMIFS(Partidos!$N:$N,Partidos!$C:$C,Partidos!$X$2,Partidos!$D:$D,$B$3,Partidos!$E:$E,$A62)+SUMIFS(Partidos!$N:$N,Partidos!$C:$C,Partidos!$X$2,Partidos!$D:$D,$A62,Partidos!$E:$E,$B$3)+SUMIFS(Partidos!$O:$O,Partidos!$C:$C,Partidos!$X$2,Partidos!$F:$F,$B$3,Partidos!$G:$G,$A62)+SUMIFS(Partidos!$O:$O,Partidos!$C:$C,Partidos!$X$2,Partidos!$F:$F,$A62,Partidos!$G:$G,$B$3)))</f>
        <v/>
      </c>
      <c r="J62" s="10" t="str">
        <f>IF($A62="","",IF($A62="","",SUMIFS(Partidos!$O:$O,Partidos!$C:$C,Partidos!$X$2,Partidos!$D:$D,$B$3,Partidos!$E:$E,$A62)+SUMIFS(Partidos!$O:$O,Partidos!$C:$C,Partidos!$X$2,Partidos!$D:$D,$A62,Partidos!$E:$E,$B$3)+SUMIFS(Partidos!$N:$N,Partidos!$C:$C,Partidos!$X$2,Partidos!$F:$F,$B$3,Partidos!$G:$G,$A62)+SUMIFS(Partidos!$N:$N,Partidos!$C:$C,Partidos!$X$2,Partidos!$F:$F,$A62,Partidos!$G:$G,$B$3)))</f>
        <v/>
      </c>
      <c r="K62" s="10" t="str">
        <f t="shared" si="8"/>
        <v/>
      </c>
      <c r="L62" t="str">
        <f t="shared" si="9"/>
        <v/>
      </c>
      <c r="T62" t="str">
        <f t="shared" si="10"/>
        <v/>
      </c>
    </row>
    <row r="63" spans="1:20" x14ac:dyDescent="0.3">
      <c r="A63" s="9" t="str">
        <f>IF(Jugadores!B59="","",IF(Jugadores!B59=$B$3,"",Jugadores!B59))</f>
        <v/>
      </c>
      <c r="B63" s="2" t="str">
        <f>IF($A63="","",COUNTIFS(Partidos!$C:$C,Partidos!$X$2,Partidos!$D:$D,$B$3,Partidos!$E:$E,$A63)+COUNTIFS(Partidos!$C:$C,Partidos!$X$2,Partidos!$D:$D,$A63,Partidos!$E:$E,$B$3)+COUNTIFS(Partidos!$C:$C,Partidos!$X$2,Partidos!$F:$F,$B$3,Partidos!$G:$G,$A63)+COUNTIFS(Partidos!$C:$C,Partidos!$X$2,Partidos!$F:$F,$A63,Partidos!$G:$G,$B$3))</f>
        <v/>
      </c>
      <c r="C63" s="2" t="str">
        <f>IF($A63="","",COUNTIFS(Partidos!$C:$C,Partidos!$X$2,Partidos!$P:$P,"A",Partidos!$D:$D,$B$3,Partidos!$E:$E,$A63)+COUNTIFS(Partidos!$C:$C,Partidos!$X$2,Partidos!$P:$P,"A",Partidos!$D:$D,$A63,Partidos!$E:$E,$B$3)+COUNTIFS(Partidos!$C:$C,Partidos!$X$2,Partidos!$P:$P,"B",Partidos!$F:$F,$B$3,Partidos!$G:$G,$A63)+COUNTIFS(Partidos!$C:$C,Partidos!$X$2,Partidos!$P:$P,"B",Partidos!$F:$F,$A63,Partidos!$G:$G,$B$3))</f>
        <v/>
      </c>
      <c r="D63" s="2" t="str">
        <f t="shared" si="6"/>
        <v/>
      </c>
      <c r="E63" s="45" t="str">
        <f t="shared" si="2"/>
        <v/>
      </c>
      <c r="F63" s="10" t="str">
        <f>IF($A63="","",SUMIFS(Partidos!$Q:$Q,Partidos!$C:$C,Partidos!$X$2,Partidos!$D:$D,$B$3,Partidos!$E:$E,$A63)+SUMIFS(Partidos!$Q:$Q,Partidos!$C:$C,Partidos!$X$2,Partidos!$D:$D,$A63,Partidos!$E:$E,$B$3)+SUMIFS(Partidos!$R:$R,Partidos!$C:$C,Partidos!$X$2,Partidos!$F:$F,$B$3,Partidos!$G:$G,$A63)+SUMIFS(Partidos!$R:$R,Partidos!$C:$C,Partidos!$X$2,Partidos!$F:$F,$A63,Partidos!$G:$G,$B$3))</f>
        <v/>
      </c>
      <c r="G63" s="10" t="str">
        <f>IF($A63="","",SUMIFS(Partidos!$R:$R,Partidos!$C:$C,Partidos!$X$2,Partidos!$D:$D,$B$3,Partidos!$E:$E,$A63)+SUMIFS(Partidos!$R:$R,Partidos!$C:$C,Partidos!$X$2,Partidos!$D:$D,$A63,Partidos!$E:$E,$B$3)+SUMIFS(Partidos!$Q:$Q,Partidos!$C:$C,Partidos!$X$2,Partidos!$F:$F,$B$3,Partidos!$G:$G,$A63)+SUMIFS(Partidos!$Q:$Q,Partidos!$C:$C,Partidos!$X$2,Partidos!$F:$F,$A63,Partidos!$G:$G,$B$3))</f>
        <v/>
      </c>
      <c r="H63" s="10" t="str">
        <f t="shared" si="7"/>
        <v/>
      </c>
      <c r="I63" s="10" t="str">
        <f>IF($A63="","",IF($A63="","",SUMIFS(Partidos!$N:$N,Partidos!$C:$C,Partidos!$X$2,Partidos!$D:$D,$B$3,Partidos!$E:$E,$A63)+SUMIFS(Partidos!$N:$N,Partidos!$C:$C,Partidos!$X$2,Partidos!$D:$D,$A63,Partidos!$E:$E,$B$3)+SUMIFS(Partidos!$O:$O,Partidos!$C:$C,Partidos!$X$2,Partidos!$F:$F,$B$3,Partidos!$G:$G,$A63)+SUMIFS(Partidos!$O:$O,Partidos!$C:$C,Partidos!$X$2,Partidos!$F:$F,$A63,Partidos!$G:$G,$B$3)))</f>
        <v/>
      </c>
      <c r="J63" s="10" t="str">
        <f>IF($A63="","",IF($A63="","",SUMIFS(Partidos!$O:$O,Partidos!$C:$C,Partidos!$X$2,Partidos!$D:$D,$B$3,Partidos!$E:$E,$A63)+SUMIFS(Partidos!$O:$O,Partidos!$C:$C,Partidos!$X$2,Partidos!$D:$D,$A63,Partidos!$E:$E,$B$3)+SUMIFS(Partidos!$N:$N,Partidos!$C:$C,Partidos!$X$2,Partidos!$F:$F,$B$3,Partidos!$G:$G,$A63)+SUMIFS(Partidos!$N:$N,Partidos!$C:$C,Partidos!$X$2,Partidos!$F:$F,$A63,Partidos!$G:$G,$B$3)))</f>
        <v/>
      </c>
      <c r="K63" s="10" t="str">
        <f t="shared" si="8"/>
        <v/>
      </c>
      <c r="L63" t="str">
        <f t="shared" si="9"/>
        <v/>
      </c>
      <c r="T63" t="str">
        <f t="shared" si="10"/>
        <v/>
      </c>
    </row>
    <row r="64" spans="1:20" x14ac:dyDescent="0.3">
      <c r="A64" s="9" t="str">
        <f>IF(Jugadores!B60="","",IF(Jugadores!B60=$B$3,"",Jugadores!B60))</f>
        <v/>
      </c>
      <c r="B64" s="2" t="str">
        <f>IF($A64="","",COUNTIFS(Partidos!$C:$C,Partidos!$X$2,Partidos!$D:$D,$B$3,Partidos!$E:$E,$A64)+COUNTIFS(Partidos!$C:$C,Partidos!$X$2,Partidos!$D:$D,$A64,Partidos!$E:$E,$B$3)+COUNTIFS(Partidos!$C:$C,Partidos!$X$2,Partidos!$F:$F,$B$3,Partidos!$G:$G,$A64)+COUNTIFS(Partidos!$C:$C,Partidos!$X$2,Partidos!$F:$F,$A64,Partidos!$G:$G,$B$3))</f>
        <v/>
      </c>
      <c r="C64" s="2" t="str">
        <f>IF($A64="","",COUNTIFS(Partidos!$C:$C,Partidos!$X$2,Partidos!$P:$P,"A",Partidos!$D:$D,$B$3,Partidos!$E:$E,$A64)+COUNTIFS(Partidos!$C:$C,Partidos!$X$2,Partidos!$P:$P,"A",Partidos!$D:$D,$A64,Partidos!$E:$E,$B$3)+COUNTIFS(Partidos!$C:$C,Partidos!$X$2,Partidos!$P:$P,"B",Partidos!$F:$F,$B$3,Partidos!$G:$G,$A64)+COUNTIFS(Partidos!$C:$C,Partidos!$X$2,Partidos!$P:$P,"B",Partidos!$F:$F,$A64,Partidos!$G:$G,$B$3))</f>
        <v/>
      </c>
      <c r="D64" s="2" t="str">
        <f t="shared" si="6"/>
        <v/>
      </c>
      <c r="E64" s="45" t="str">
        <f t="shared" si="2"/>
        <v/>
      </c>
      <c r="F64" s="10" t="str">
        <f>IF($A64="","",SUMIFS(Partidos!$Q:$Q,Partidos!$C:$C,Partidos!$X$2,Partidos!$D:$D,$B$3,Partidos!$E:$E,$A64)+SUMIFS(Partidos!$Q:$Q,Partidos!$C:$C,Partidos!$X$2,Partidos!$D:$D,$A64,Partidos!$E:$E,$B$3)+SUMIFS(Partidos!$R:$R,Partidos!$C:$C,Partidos!$X$2,Partidos!$F:$F,$B$3,Partidos!$G:$G,$A64)+SUMIFS(Partidos!$R:$R,Partidos!$C:$C,Partidos!$X$2,Partidos!$F:$F,$A64,Partidos!$G:$G,$B$3))</f>
        <v/>
      </c>
      <c r="G64" s="10" t="str">
        <f>IF($A64="","",SUMIFS(Partidos!$R:$R,Partidos!$C:$C,Partidos!$X$2,Partidos!$D:$D,$B$3,Partidos!$E:$E,$A64)+SUMIFS(Partidos!$R:$R,Partidos!$C:$C,Partidos!$X$2,Partidos!$D:$D,$A64,Partidos!$E:$E,$B$3)+SUMIFS(Partidos!$Q:$Q,Partidos!$C:$C,Partidos!$X$2,Partidos!$F:$F,$B$3,Partidos!$G:$G,$A64)+SUMIFS(Partidos!$Q:$Q,Partidos!$C:$C,Partidos!$X$2,Partidos!$F:$F,$A64,Partidos!$G:$G,$B$3))</f>
        <v/>
      </c>
      <c r="H64" s="10" t="str">
        <f t="shared" si="7"/>
        <v/>
      </c>
      <c r="I64" s="10" t="str">
        <f>IF($A64="","",IF($A64="","",SUMIFS(Partidos!$N:$N,Partidos!$C:$C,Partidos!$X$2,Partidos!$D:$D,$B$3,Partidos!$E:$E,$A64)+SUMIFS(Partidos!$N:$N,Partidos!$C:$C,Partidos!$X$2,Partidos!$D:$D,$A64,Partidos!$E:$E,$B$3)+SUMIFS(Partidos!$O:$O,Partidos!$C:$C,Partidos!$X$2,Partidos!$F:$F,$B$3,Partidos!$G:$G,$A64)+SUMIFS(Partidos!$O:$O,Partidos!$C:$C,Partidos!$X$2,Partidos!$F:$F,$A64,Partidos!$G:$G,$B$3)))</f>
        <v/>
      </c>
      <c r="J64" s="10" t="str">
        <f>IF($A64="","",IF($A64="","",SUMIFS(Partidos!$O:$O,Partidos!$C:$C,Partidos!$X$2,Partidos!$D:$D,$B$3,Partidos!$E:$E,$A64)+SUMIFS(Partidos!$O:$O,Partidos!$C:$C,Partidos!$X$2,Partidos!$D:$D,$A64,Partidos!$E:$E,$B$3)+SUMIFS(Partidos!$N:$N,Partidos!$C:$C,Partidos!$X$2,Partidos!$F:$F,$B$3,Partidos!$G:$G,$A64)+SUMIFS(Partidos!$N:$N,Partidos!$C:$C,Partidos!$X$2,Partidos!$F:$F,$A64,Partidos!$G:$G,$B$3)))</f>
        <v/>
      </c>
      <c r="K64" s="10" t="str">
        <f t="shared" si="8"/>
        <v/>
      </c>
      <c r="L64" t="str">
        <f t="shared" si="9"/>
        <v/>
      </c>
      <c r="T64" t="str">
        <f t="shared" si="10"/>
        <v/>
      </c>
    </row>
    <row r="65" spans="1:20" x14ac:dyDescent="0.3">
      <c r="A65" s="9" t="str">
        <f>IF(Jugadores!B61="","",IF(Jugadores!B61=$B$3,"",Jugadores!B61))</f>
        <v/>
      </c>
      <c r="B65" s="2" t="str">
        <f>IF($A65="","",COUNTIFS(Partidos!$C:$C,Partidos!$X$2,Partidos!$D:$D,$B$3,Partidos!$E:$E,$A65)+COUNTIFS(Partidos!$C:$C,Partidos!$X$2,Partidos!$D:$D,$A65,Partidos!$E:$E,$B$3)+COUNTIFS(Partidos!$C:$C,Partidos!$X$2,Partidos!$F:$F,$B$3,Partidos!$G:$G,$A65)+COUNTIFS(Partidos!$C:$C,Partidos!$X$2,Partidos!$F:$F,$A65,Partidos!$G:$G,$B$3))</f>
        <v/>
      </c>
      <c r="C65" s="2" t="str">
        <f>IF($A65="","",COUNTIFS(Partidos!$C:$C,Partidos!$X$2,Partidos!$P:$P,"A",Partidos!$D:$D,$B$3,Partidos!$E:$E,$A65)+COUNTIFS(Partidos!$C:$C,Partidos!$X$2,Partidos!$P:$P,"A",Partidos!$D:$D,$A65,Partidos!$E:$E,$B$3)+COUNTIFS(Partidos!$C:$C,Partidos!$X$2,Partidos!$P:$P,"B",Partidos!$F:$F,$B$3,Partidos!$G:$G,$A65)+COUNTIFS(Partidos!$C:$C,Partidos!$X$2,Partidos!$P:$P,"B",Partidos!$F:$F,$A65,Partidos!$G:$G,$B$3))</f>
        <v/>
      </c>
      <c r="D65" s="2" t="str">
        <f t="shared" si="6"/>
        <v/>
      </c>
      <c r="E65" s="45" t="str">
        <f t="shared" si="2"/>
        <v/>
      </c>
      <c r="F65" s="10" t="str">
        <f>IF($A65="","",SUMIFS(Partidos!$Q:$Q,Partidos!$C:$C,Partidos!$X$2,Partidos!$D:$D,$B$3,Partidos!$E:$E,$A65)+SUMIFS(Partidos!$Q:$Q,Partidos!$C:$C,Partidos!$X$2,Partidos!$D:$D,$A65,Partidos!$E:$E,$B$3)+SUMIFS(Partidos!$R:$R,Partidos!$C:$C,Partidos!$X$2,Partidos!$F:$F,$B$3,Partidos!$G:$G,$A65)+SUMIFS(Partidos!$R:$R,Partidos!$C:$C,Partidos!$X$2,Partidos!$F:$F,$A65,Partidos!$G:$G,$B$3))</f>
        <v/>
      </c>
      <c r="G65" s="10" t="str">
        <f>IF($A65="","",SUMIFS(Partidos!$R:$R,Partidos!$C:$C,Partidos!$X$2,Partidos!$D:$D,$B$3,Partidos!$E:$E,$A65)+SUMIFS(Partidos!$R:$R,Partidos!$C:$C,Partidos!$X$2,Partidos!$D:$D,$A65,Partidos!$E:$E,$B$3)+SUMIFS(Partidos!$Q:$Q,Partidos!$C:$C,Partidos!$X$2,Partidos!$F:$F,$B$3,Partidos!$G:$G,$A65)+SUMIFS(Partidos!$Q:$Q,Partidos!$C:$C,Partidos!$X$2,Partidos!$F:$F,$A65,Partidos!$G:$G,$B$3))</f>
        <v/>
      </c>
      <c r="H65" s="10" t="str">
        <f t="shared" si="7"/>
        <v/>
      </c>
      <c r="I65" s="10" t="str">
        <f>IF($A65="","",IF($A65="","",SUMIFS(Partidos!$N:$N,Partidos!$C:$C,Partidos!$X$2,Partidos!$D:$D,$B$3,Partidos!$E:$E,$A65)+SUMIFS(Partidos!$N:$N,Partidos!$C:$C,Partidos!$X$2,Partidos!$D:$D,$A65,Partidos!$E:$E,$B$3)+SUMIFS(Partidos!$O:$O,Partidos!$C:$C,Partidos!$X$2,Partidos!$F:$F,$B$3,Partidos!$G:$G,$A65)+SUMIFS(Partidos!$O:$O,Partidos!$C:$C,Partidos!$X$2,Partidos!$F:$F,$A65,Partidos!$G:$G,$B$3)))</f>
        <v/>
      </c>
      <c r="J65" s="10" t="str">
        <f>IF($A65="","",IF($A65="","",SUMIFS(Partidos!$O:$O,Partidos!$C:$C,Partidos!$X$2,Partidos!$D:$D,$B$3,Partidos!$E:$E,$A65)+SUMIFS(Partidos!$O:$O,Partidos!$C:$C,Partidos!$X$2,Partidos!$D:$D,$A65,Partidos!$E:$E,$B$3)+SUMIFS(Partidos!$N:$N,Partidos!$C:$C,Partidos!$X$2,Partidos!$F:$F,$B$3,Partidos!$G:$G,$A65)+SUMIFS(Partidos!$N:$N,Partidos!$C:$C,Partidos!$X$2,Partidos!$F:$F,$A65,Partidos!$G:$G,$B$3)))</f>
        <v/>
      </c>
      <c r="K65" s="10" t="str">
        <f t="shared" si="8"/>
        <v/>
      </c>
      <c r="L65" t="str">
        <f t="shared" si="9"/>
        <v/>
      </c>
      <c r="T65" t="str">
        <f t="shared" si="10"/>
        <v/>
      </c>
    </row>
  </sheetData>
  <sortState xmlns:xlrd2="http://schemas.microsoft.com/office/spreadsheetml/2017/richdata2" ref="A6:L21">
    <sortCondition descending="1" ref="E6:E21"/>
    <sortCondition descending="1" ref="B6:B21"/>
  </sortState>
  <mergeCells count="1">
    <mergeCell ref="A1:H1"/>
  </mergeCells>
  <dataValidations count="2">
    <dataValidation type="list" allowBlank="1" showErrorMessage="1" errorTitle="Jugador no permitido" error="Selecciona un jugador existente en la hoja 'Jugadores'." sqref="B3" xr:uid="{00000000-0002-0000-0500-000000000000}">
      <formula1>PlayersList</formula1>
    </dataValidation>
    <dataValidation type="list" sqref="K2" xr:uid="{00000000-0002-0000-0500-000001000000}">
      <formula1>"%V,PJ"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5"/>
  <sheetViews>
    <sheetView topLeftCell="D1" workbookViewId="0">
      <pane ySplit="5" topLeftCell="A6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5" width="12" customWidth="1"/>
    <col min="6" max="6" width="14" customWidth="1"/>
    <col min="7" max="8" width="16" customWidth="1"/>
    <col min="10" max="10" width="15.109375" bestFit="1" customWidth="1"/>
    <col min="11" max="11" width="8.88671875" bestFit="1" customWidth="1"/>
    <col min="13" max="13" width="17.88671875" customWidth="1"/>
    <col min="14" max="14" width="8.6640625" customWidth="1"/>
    <col min="15" max="15" width="7.33203125" customWidth="1"/>
    <col min="16" max="16" width="7.5546875" customWidth="1"/>
    <col min="17" max="17" width="10" customWidth="1"/>
  </cols>
  <sheetData>
    <row r="1" spans="1:17" ht="18" x14ac:dyDescent="0.35">
      <c r="A1" s="33" t="s">
        <v>74</v>
      </c>
      <c r="B1" s="31"/>
      <c r="C1" s="31"/>
      <c r="D1" s="31"/>
      <c r="E1" s="31"/>
      <c r="F1" s="31"/>
      <c r="G1" s="31"/>
      <c r="H1" s="31"/>
    </row>
    <row r="2" spans="1:17" x14ac:dyDescent="0.3">
      <c r="J2" s="5" t="s">
        <v>64</v>
      </c>
      <c r="K2" s="3" t="s">
        <v>65</v>
      </c>
    </row>
    <row r="3" spans="1:17" x14ac:dyDescent="0.3">
      <c r="A3" t="s">
        <v>48</v>
      </c>
      <c r="B3" s="3" t="s">
        <v>119</v>
      </c>
    </row>
    <row r="4" spans="1:17" x14ac:dyDescent="0.3">
      <c r="M4" s="5" t="s">
        <v>66</v>
      </c>
    </row>
    <row r="5" spans="1:17" ht="22.05" customHeight="1" x14ac:dyDescent="0.3">
      <c r="A5" s="1" t="s">
        <v>75</v>
      </c>
      <c r="B5" s="1" t="s">
        <v>76</v>
      </c>
      <c r="C5" s="1" t="s">
        <v>77</v>
      </c>
      <c r="D5" s="1" t="s">
        <v>78</v>
      </c>
      <c r="E5" s="1" t="s">
        <v>71</v>
      </c>
      <c r="F5" s="1" t="s">
        <v>79</v>
      </c>
      <c r="G5" s="1" t="s">
        <v>80</v>
      </c>
      <c r="H5" s="1" t="s">
        <v>81</v>
      </c>
      <c r="J5" s="1" t="s">
        <v>72</v>
      </c>
      <c r="K5" s="1" t="s">
        <v>73</v>
      </c>
      <c r="M5" s="1" t="s">
        <v>75</v>
      </c>
      <c r="N5" s="1" t="s">
        <v>49</v>
      </c>
      <c r="O5" s="1" t="s">
        <v>50</v>
      </c>
      <c r="P5" s="1" t="s">
        <v>51</v>
      </c>
      <c r="Q5" s="1" t="s">
        <v>65</v>
      </c>
    </row>
    <row r="6" spans="1:17" x14ac:dyDescent="0.3">
      <c r="A6" s="6" t="str">
        <f>IF(Jugadores!B13="","",IF(Jugadores!B13=$B$3,"",Jugadores!B13))</f>
        <v>Guillermo Medina</v>
      </c>
      <c r="B6" s="2">
        <f>IF($A6="","",COUNTIFS(Partidos!$C:$C,Partidos!$X$2,Partidos!$D:$D,$B$3,Partidos!$F:$F,$A6)+COUNTIFS(Partidos!$C:$C,Partidos!$X$2,Partidos!$D:$D,$B$3,Partidos!$G:$G,$A6)+COUNTIFS(Partidos!$C:$C,Partidos!$X$2,Partidos!$E:$E,$B$3,Partidos!$F:$F,$A6)+COUNTIFS(Partidos!$C:$C,Partidos!$X$2,Partidos!$E:$E,$B$3,Partidos!$G:$G,$A6)+COUNTIFS(Partidos!$C:$C,Partidos!$X$2,Partidos!$F:$F,$B$3,Partidos!$D:$D,$A6)+COUNTIFS(Partidos!$C:$C,Partidos!$X$2,Partidos!$F:$F,$B$3,Partidos!$E:$E,$A6)+COUNTIFS(Partidos!$C:$C,Partidos!$X$2,Partidos!$G:$G,$B$3,Partidos!$D:$D,$A6)+COUNTIFS(Partidos!$C:$C,Partidos!$X$2,Partidos!$G:$G,$B$3,Partidos!$E:$E,$A6))</f>
        <v>4</v>
      </c>
      <c r="C6" s="2">
        <f>IF($A6="","",COUNTIFS(Partidos!$C:$C,Partidos!$X$2,Partidos!$P:$P,"A",Partidos!$D:$D,$B$3,Partidos!$F:$F,$A6)+COUNTIFS(Partidos!$C:$C,Partidos!$X$2,Partidos!$P:$P,"A",Partidos!$D:$D,$B$3,Partidos!$G:$G,$A6)+COUNTIFS(Partidos!$C:$C,Partidos!$X$2,Partidos!$P:$P,"A",Partidos!$E:$E,$B$3,Partidos!$F:$F,$A6)+COUNTIFS(Partidos!$C:$C,Partidos!$X$2,Partidos!$P:$P,"A",Partidos!$E:$E,$B$3,Partidos!$G:$G,$A6)+COUNTIFS(Partidos!$C:$C,Partidos!$X$2,Partidos!$P:$P,"B",Partidos!$F:$F,$B$3,Partidos!$D:$D,$A6)+COUNTIFS(Partidos!$C:$C,Partidos!$X$2,Partidos!$P:$P,"B",Partidos!$F:$F,$B$3,Partidos!$E:$E,$A6)+COUNTIFS(Partidos!$C:$C,Partidos!$X$2,Partidos!$P:$P,"B",Partidos!$G:$G,$B$3,Partidos!$D:$D,$A6)+COUNTIFS(Partidos!$C:$C,Partidos!$X$2,Partidos!$P:$P,"B",Partidos!$G:$G,$B$3,Partidos!$E:$E,$A6))</f>
        <v>0</v>
      </c>
      <c r="D6" s="2">
        <f>IF($A6="","",B6-C6)</f>
        <v>4</v>
      </c>
      <c r="E6" s="11">
        <f>IF($A6="","",IF(B6=0,"",C6/B6))</f>
        <v>0</v>
      </c>
      <c r="F6" s="13" t="str">
        <f>IF($A6="","",(IF($A6="","",SUMIFS(Partidos!$N:$N,Partidos!$C:$C,Partidos!$X$2,Partidos!$D:$D,$B$3,Partidos!$F:$F,$A6)+SUMIFS(Partidos!$N:$N,Partidos!$C:$C,Partidos!$X$2,Partidos!$D:$D,$B$3,Partidos!$G:$G,$A6)+SUMIFS(Partidos!$N:$N,Partidos!$C:$C,Partidos!$X$2,Partidos!$E:$E,$B$3,Partidos!$F:$F,$A6)+SUMIFS(Partidos!$N:$N,Partidos!$C:$C,Partidos!$X$2,Partidos!$E:$E,$B$3,Partidos!$G:$G,$A6)+SUMIFS(Partidos!$O:$O,Partidos!$C:$C,Partidos!$X$2,Partidos!$F:$F,$B$3,Partidos!$D:$D,$A6)+SUMIFS(Partidos!$O:$O,Partidos!$C:$C,Partidos!$X$2,Partidos!$F:$F,$B$3,Partidos!$E:$E,$A6)+SUMIFS(Partidos!$O:$O,Partidos!$C:$C,Partidos!$X$2,Partidos!$G:$G,$B$3,Partidos!$D:$D,$A6)+SUMIFS(Partidos!$O:$O,Partidos!$C:$C,Partidos!$X$2,Partidos!$G:$G,$B$3,Partidos!$E:$E,$A6)))&amp;"-"&amp;(IF($A6="","",SUMIFS(Partidos!$O:$O,Partidos!$C:$C,Partidos!$X$2,Partidos!$D:$D,$B$3,Partidos!$F:$F,$A6)+SUMIFS(Partidos!$O:$O,Partidos!$C:$C,Partidos!$X$2,Partidos!$D:$D,$B$3,Partidos!$G:$G,$A6)+SUMIFS(Partidos!$O:$O,Partidos!$C:$C,Partidos!$X$2,Partidos!$E:$E,$B$3,Partidos!$F:$F,$A6)+SUMIFS(Partidos!$O:$O,Partidos!$C:$C,Partidos!$X$2,Partidos!$E:$E,$B$3,Partidos!$G:$G,$A6)+SUMIFS(Partidos!$N:$N,Partidos!$C:$C,Partidos!$X$2,Partidos!$F:$F,$B$3,Partidos!$D:$D,$A6)+SUMIFS(Partidos!$N:$N,Partidos!$C:$C,Partidos!$X$2,Partidos!$F:$F,$B$3,Partidos!$E:$E,$A6)+SUMIFS(Partidos!$N:$N,Partidos!$C:$C,Partidos!$X$2,Partidos!$G:$G,$B$3,Partidos!$D:$D,$A6)+SUMIFS(Partidos!$N:$N,Partidos!$C:$C,Partidos!$X$2,Partidos!$G:$G,$B$3,Partidos!$E:$E,$A6))))</f>
        <v>3-8</v>
      </c>
      <c r="G6" s="10">
        <f>IF($A6="","",(IF($A6="","",SUMIFS(Partidos!$Q:$Q,Partidos!$C:$C,Partidos!$X$2,Partidos!$D:$D,$B$3,Partidos!$F:$F,$A6)+SUMIFS(Partidos!$Q:$Q,Partidos!$C:$C,Partidos!$X$2,Partidos!$D:$D,$B$3,Partidos!$G:$G,$A6)+SUMIFS(Partidos!$Q:$Q,Partidos!$C:$C,Partidos!$X$2,Partidos!$E:$E,$B$3,Partidos!$F:$F,$A6)+SUMIFS(Partidos!$Q:$Q,Partidos!$C:$C,Partidos!$X$2,Partidos!$E:$E,$B$3,Partidos!$G:$G,$A6)+SUMIFS(Partidos!$R:$R,Partidos!$C:$C,Partidos!$X$2,Partidos!$F:$F,$B$3,Partidos!$D:$D,$A6)+SUMIFS(Partidos!$R:$R,Partidos!$C:$C,Partidos!$X$2,Partidos!$F:$F,$B$3,Partidos!$E:$E,$A6)+SUMIFS(Partidos!$R:$R,Partidos!$C:$C,Partidos!$X$2,Partidos!$G:$G,$B$3,Partidos!$D:$D,$A6)+SUMIFS(Partidos!$R:$R,Partidos!$C:$C,Partidos!$X$2,Partidos!$G:$G,$B$3,Partidos!$E:$E,$A6)))-(IF($A6="","",SUMIFS(Partidos!$R:$R,Partidos!$C:$C,Partidos!$X$2,Partidos!$D:$D,$B$3,Partidos!$F:$F,$A6)+SUMIFS(Partidos!$R:$R,Partidos!$C:$C,Partidos!$X$2,Partidos!$D:$D,$B$3,Partidos!$G:$G,$A6)+SUMIFS(Partidos!$R:$R,Partidos!$C:$C,Partidos!$X$2,Partidos!$E:$E,$B$3,Partidos!$F:$F,$A6)+SUMIFS(Partidos!$R:$R,Partidos!$C:$C,Partidos!$X$2,Partidos!$E:$E,$B$3,Partidos!$G:$G,$A6)+SUMIFS(Partidos!$Q:$Q,Partidos!$C:$C,Partidos!$X$2,Partidos!$F:$F,$B$3,Partidos!$D:$D,$A6)+SUMIFS(Partidos!$Q:$Q,Partidos!$C:$C,Partidos!$X$2,Partidos!$F:$F,$B$3,Partidos!$E:$E,$A6)+SUMIFS(Partidos!$Q:$Q,Partidos!$C:$C,Partidos!$X$2,Partidos!$G:$G,$B$3,Partidos!$D:$D,$A6)+SUMIFS(Partidos!$Q:$Q,Partidos!$C:$C,Partidos!$X$2,Partidos!$G:$G,$B$3,Partidos!$E:$E,$A6))))</f>
        <v>-20</v>
      </c>
      <c r="H6" s="2"/>
      <c r="J6">
        <f t="shared" ref="J6:J37" si="0">IF($A6="","",RANK($B6,$B$6:$B$65,0)+COUNTIFS($B$6:$B$65,$B6,$A$6:$A$65,"&gt;"&amp;$A6))</f>
        <v>9</v>
      </c>
      <c r="K6">
        <f t="shared" ref="K6:K37" si="1">IF($A6="","",RANK($E6,$E$6:$E$65,0)+COUNTIFS($E$6:$E$65,$E6,$B$6:$B$65,"&gt;"&amp;$B6)+COUNTIFS($E$6:$E$65,$E6,$B$6:$B$65,$B6,$A$6:$A$65,"&gt;"&amp;$A6))</f>
        <v>9</v>
      </c>
      <c r="M6" s="12" t="str">
        <f>IFERROR(INDEX($A$6:$A$65,IF($K$2="PJ",MATCH(1,$J$6:$J$65,0),MATCH(1,$K$6:$K$65,0))),"")</f>
        <v>Eva Pulido</v>
      </c>
      <c r="N6" s="10">
        <f>IFERROR(INDEX($B$6:$B$65,IF($K$2="PJ",MATCH(1,$J$6:$J$65,0),MATCH(1,$K$6:$K$65,0))),"")</f>
        <v>6</v>
      </c>
      <c r="O6" s="10">
        <f>IFERROR(INDEX($C$6:$C$65,IF($K$2="PJ",MATCH(1,$J$6:$J$65,0),MATCH(1,$K$6:$K$65,0))),"")</f>
        <v>4</v>
      </c>
      <c r="P6" s="10">
        <f>IFERROR(INDEX($D$6:$D$65,IF($K$2="PJ",MATCH(1,$J$6:$J$65,0),MATCH(1,$K$6:$K$65,0))),"")</f>
        <v>2</v>
      </c>
      <c r="Q6" s="11">
        <f>IFERROR(INDEX($E$6:$E$65,IF($K$2="PJ",MATCH(1,$J$6:$J$65,0),MATCH(1,$K$6:$K$65,0))),"")</f>
        <v>0.66666666666666663</v>
      </c>
    </row>
    <row r="7" spans="1:17" x14ac:dyDescent="0.3">
      <c r="A7" s="6" t="str">
        <f>IF(Jugadores!B3="","",IF(Jugadores!B3=$B$3,"",Jugadores!B3))</f>
        <v>Imobach González</v>
      </c>
      <c r="B7" s="2">
        <f>IF($A7="","",COUNTIFS(Partidos!$C:$C,Partidos!$X$2,Partidos!$D:$D,$B$3,Partidos!$F:$F,$A7)+COUNTIFS(Partidos!$C:$C,Partidos!$X$2,Partidos!$D:$D,$B$3,Partidos!$G:$G,$A7)+COUNTIFS(Partidos!$C:$C,Partidos!$X$2,Partidos!$E:$E,$B$3,Partidos!$F:$F,$A7)+COUNTIFS(Partidos!$C:$C,Partidos!$X$2,Partidos!$E:$E,$B$3,Partidos!$G:$G,$A7)+COUNTIFS(Partidos!$C:$C,Partidos!$X$2,Partidos!$F:$F,$B$3,Partidos!$D:$D,$A7)+COUNTIFS(Partidos!$C:$C,Partidos!$X$2,Partidos!$F:$F,$B$3,Partidos!$E:$E,$A7)+COUNTIFS(Partidos!$C:$C,Partidos!$X$2,Partidos!$G:$G,$B$3,Partidos!$D:$D,$A7)+COUNTIFS(Partidos!$C:$C,Partidos!$X$2,Partidos!$G:$G,$B$3,Partidos!$E:$E,$A7))</f>
        <v>2</v>
      </c>
      <c r="C7" s="2">
        <f>IF($A7="","",COUNTIFS(Partidos!$C:$C,Partidos!$X$2,Partidos!$P:$P,"A",Partidos!$D:$D,$B$3,Partidos!$F:$F,$A7)+COUNTIFS(Partidos!$C:$C,Partidos!$X$2,Partidos!$P:$P,"A",Partidos!$D:$D,$B$3,Partidos!$G:$G,$A7)+COUNTIFS(Partidos!$C:$C,Partidos!$X$2,Partidos!$P:$P,"A",Partidos!$E:$E,$B$3,Partidos!$F:$F,$A7)+COUNTIFS(Partidos!$C:$C,Partidos!$X$2,Partidos!$P:$P,"A",Partidos!$E:$E,$B$3,Partidos!$G:$G,$A7)+COUNTIFS(Partidos!$C:$C,Partidos!$X$2,Partidos!$P:$P,"B",Partidos!$F:$F,$B$3,Partidos!$D:$D,$A7)+COUNTIFS(Partidos!$C:$C,Partidos!$X$2,Partidos!$P:$P,"B",Partidos!$F:$F,$B$3,Partidos!$E:$E,$A7)+COUNTIFS(Partidos!$C:$C,Partidos!$X$2,Partidos!$P:$P,"B",Partidos!$G:$G,$B$3,Partidos!$D:$D,$A7)+COUNTIFS(Partidos!$C:$C,Partidos!$X$2,Partidos!$P:$P,"B",Partidos!$G:$G,$B$3,Partidos!$E:$E,$A7))</f>
        <v>0</v>
      </c>
      <c r="D7" s="2">
        <f>IF($A7="","",B7-C7)</f>
        <v>2</v>
      </c>
      <c r="E7" s="11">
        <f>IF($A7="","",IF(B7=0,"",C7/B7))</f>
        <v>0</v>
      </c>
      <c r="F7" s="13" t="str">
        <f>IF($A7="","",(IF($A7="","",SUMIFS(Partidos!$N:$N,Partidos!$C:$C,Partidos!$X$2,Partidos!$D:$D,$B$3,Partidos!$F:$F,$A7)+SUMIFS(Partidos!$N:$N,Partidos!$C:$C,Partidos!$X$2,Partidos!$D:$D,$B$3,Partidos!$G:$G,$A7)+SUMIFS(Partidos!$N:$N,Partidos!$C:$C,Partidos!$X$2,Partidos!$E:$E,$B$3,Partidos!$F:$F,$A7)+SUMIFS(Partidos!$N:$N,Partidos!$C:$C,Partidos!$X$2,Partidos!$E:$E,$B$3,Partidos!$G:$G,$A7)+SUMIFS(Partidos!$O:$O,Partidos!$C:$C,Partidos!$X$2,Partidos!$F:$F,$B$3,Partidos!$D:$D,$A7)+SUMIFS(Partidos!$O:$O,Partidos!$C:$C,Partidos!$X$2,Partidos!$F:$F,$B$3,Partidos!$E:$E,$A7)+SUMIFS(Partidos!$O:$O,Partidos!$C:$C,Partidos!$X$2,Partidos!$G:$G,$B$3,Partidos!$D:$D,$A7)+SUMIFS(Partidos!$O:$O,Partidos!$C:$C,Partidos!$X$2,Partidos!$G:$G,$B$3,Partidos!$E:$E,$A7)))&amp;"-"&amp;(IF($A7="","",SUMIFS(Partidos!$O:$O,Partidos!$C:$C,Partidos!$X$2,Partidos!$D:$D,$B$3,Partidos!$F:$F,$A7)+SUMIFS(Partidos!$O:$O,Partidos!$C:$C,Partidos!$X$2,Partidos!$D:$D,$B$3,Partidos!$G:$G,$A7)+SUMIFS(Partidos!$O:$O,Partidos!$C:$C,Partidos!$X$2,Partidos!$E:$E,$B$3,Partidos!$F:$F,$A7)+SUMIFS(Partidos!$O:$O,Partidos!$C:$C,Partidos!$X$2,Partidos!$E:$E,$B$3,Partidos!$G:$G,$A7)+SUMIFS(Partidos!$N:$N,Partidos!$C:$C,Partidos!$X$2,Partidos!$F:$F,$B$3,Partidos!$D:$D,$A7)+SUMIFS(Partidos!$N:$N,Partidos!$C:$C,Partidos!$X$2,Partidos!$F:$F,$B$3,Partidos!$E:$E,$A7)+SUMIFS(Partidos!$N:$N,Partidos!$C:$C,Partidos!$X$2,Partidos!$G:$G,$B$3,Partidos!$D:$D,$A7)+SUMIFS(Partidos!$N:$N,Partidos!$C:$C,Partidos!$X$2,Partidos!$G:$G,$B$3,Partidos!$E:$E,$A7))))</f>
        <v>1-4</v>
      </c>
      <c r="G7" s="10">
        <f>IF($A7="","",(IF($A7="","",SUMIFS(Partidos!$Q:$Q,Partidos!$C:$C,Partidos!$X$2,Partidos!$D:$D,$B$3,Partidos!$F:$F,$A7)+SUMIFS(Partidos!$Q:$Q,Partidos!$C:$C,Partidos!$X$2,Partidos!$D:$D,$B$3,Partidos!$G:$G,$A7)+SUMIFS(Partidos!$Q:$Q,Partidos!$C:$C,Partidos!$X$2,Partidos!$E:$E,$B$3,Partidos!$F:$F,$A7)+SUMIFS(Partidos!$Q:$Q,Partidos!$C:$C,Partidos!$X$2,Partidos!$E:$E,$B$3,Partidos!$G:$G,$A7)+SUMIFS(Partidos!$R:$R,Partidos!$C:$C,Partidos!$X$2,Partidos!$F:$F,$B$3,Partidos!$D:$D,$A7)+SUMIFS(Partidos!$R:$R,Partidos!$C:$C,Partidos!$X$2,Partidos!$F:$F,$B$3,Partidos!$E:$E,$A7)+SUMIFS(Partidos!$R:$R,Partidos!$C:$C,Partidos!$X$2,Partidos!$G:$G,$B$3,Partidos!$D:$D,$A7)+SUMIFS(Partidos!$R:$R,Partidos!$C:$C,Partidos!$X$2,Partidos!$G:$G,$B$3,Partidos!$E:$E,$A7)))-(IF($A7="","",SUMIFS(Partidos!$R:$R,Partidos!$C:$C,Partidos!$X$2,Partidos!$D:$D,$B$3,Partidos!$F:$F,$A7)+SUMIFS(Partidos!$R:$R,Partidos!$C:$C,Partidos!$X$2,Partidos!$D:$D,$B$3,Partidos!$G:$G,$A7)+SUMIFS(Partidos!$R:$R,Partidos!$C:$C,Partidos!$X$2,Partidos!$E:$E,$B$3,Partidos!$F:$F,$A7)+SUMIFS(Partidos!$R:$R,Partidos!$C:$C,Partidos!$X$2,Partidos!$E:$E,$B$3,Partidos!$G:$G,$A7)+SUMIFS(Partidos!$Q:$Q,Partidos!$C:$C,Partidos!$X$2,Partidos!$F:$F,$B$3,Partidos!$D:$D,$A7)+SUMIFS(Partidos!$Q:$Q,Partidos!$C:$C,Partidos!$X$2,Partidos!$F:$F,$B$3,Partidos!$E:$E,$A7)+SUMIFS(Partidos!$Q:$Q,Partidos!$C:$C,Partidos!$X$2,Partidos!$G:$G,$B$3,Partidos!$D:$D,$A7)+SUMIFS(Partidos!$Q:$Q,Partidos!$C:$C,Partidos!$X$2,Partidos!$G:$G,$B$3,Partidos!$E:$E,$A7))))</f>
        <v>-15</v>
      </c>
      <c r="H7" s="2"/>
      <c r="J7">
        <f t="shared" si="0"/>
        <v>11</v>
      </c>
      <c r="K7">
        <f t="shared" si="1"/>
        <v>11</v>
      </c>
      <c r="M7" s="12" t="str">
        <f>IFERROR(INDEX($A$6:$A$65,IF($K$2="PJ",MATCH(2,$J$6:$J$65,0),MATCH(2,$K$6:$K$65,0))),"")</f>
        <v>Nacho Navidad</v>
      </c>
      <c r="N7" s="10">
        <f>IFERROR(INDEX($B$6:$B$65,IF($K$2="PJ",MATCH(2,$J$6:$J$65,0),MATCH(2,$K$6:$K$65,0))),"")</f>
        <v>5</v>
      </c>
      <c r="O7" s="10">
        <f>IFERROR(INDEX($C$6:$C$65,IF($K$2="PJ",MATCH(2,$J$6:$J$65,0),MATCH(2,$K$6:$K$65,0))),"")</f>
        <v>2</v>
      </c>
      <c r="P7" s="10">
        <f>IFERROR(INDEX($D$6:$D$65,IF($K$2="PJ",MATCH(2,$J$6:$J$65,0),MATCH(2,$K$6:$K$65,0))),"")</f>
        <v>3</v>
      </c>
      <c r="Q7" s="11">
        <f>IFERROR(INDEX($E$6:$E$65,IF($K$2="PJ",MATCH(2,$J$6:$J$65,0),MATCH(2,$K$6:$K$65,0))),"")</f>
        <v>0.4</v>
      </c>
    </row>
    <row r="8" spans="1:17" x14ac:dyDescent="0.3">
      <c r="A8" s="6" t="str">
        <f>IF(Jugadores!B5="","",IF(Jugadores!B5=$B$3,"",Jugadores!B5))</f>
        <v>César Morales</v>
      </c>
      <c r="B8" s="2">
        <f>IF($A8="","",COUNTIFS(Partidos!$C:$C,Partidos!$X$2,Partidos!$D:$D,$B$3,Partidos!$F:$F,$A8)+COUNTIFS(Partidos!$C:$C,Partidos!$X$2,Partidos!$D:$D,$B$3,Partidos!$G:$G,$A8)+COUNTIFS(Partidos!$C:$C,Partidos!$X$2,Partidos!$E:$E,$B$3,Partidos!$F:$F,$A8)+COUNTIFS(Partidos!$C:$C,Partidos!$X$2,Partidos!$E:$E,$B$3,Partidos!$G:$G,$A8)+COUNTIFS(Partidos!$C:$C,Partidos!$X$2,Partidos!$F:$F,$B$3,Partidos!$D:$D,$A8)+COUNTIFS(Partidos!$C:$C,Partidos!$X$2,Partidos!$F:$F,$B$3,Partidos!$E:$E,$A8)+COUNTIFS(Partidos!$C:$C,Partidos!$X$2,Partidos!$G:$G,$B$3,Partidos!$D:$D,$A8)+COUNTIFS(Partidos!$C:$C,Partidos!$X$2,Partidos!$G:$G,$B$3,Partidos!$E:$E,$A8))</f>
        <v>3</v>
      </c>
      <c r="C8" s="2">
        <f>IF($A8="","",COUNTIFS(Partidos!$C:$C,Partidos!$X$2,Partidos!$P:$P,"A",Partidos!$D:$D,$B$3,Partidos!$F:$F,$A8)+COUNTIFS(Partidos!$C:$C,Partidos!$X$2,Partidos!$P:$P,"A",Partidos!$D:$D,$B$3,Partidos!$G:$G,$A8)+COUNTIFS(Partidos!$C:$C,Partidos!$X$2,Partidos!$P:$P,"A",Partidos!$E:$E,$B$3,Partidos!$F:$F,$A8)+COUNTIFS(Partidos!$C:$C,Partidos!$X$2,Partidos!$P:$P,"A",Partidos!$E:$E,$B$3,Partidos!$G:$G,$A8)+COUNTIFS(Partidos!$C:$C,Partidos!$X$2,Partidos!$P:$P,"B",Partidos!$F:$F,$B$3,Partidos!$D:$D,$A8)+COUNTIFS(Partidos!$C:$C,Partidos!$X$2,Partidos!$P:$P,"B",Partidos!$F:$F,$B$3,Partidos!$E:$E,$A8)+COUNTIFS(Partidos!$C:$C,Partidos!$X$2,Partidos!$P:$P,"B",Partidos!$G:$G,$B$3,Partidos!$D:$D,$A8)+COUNTIFS(Partidos!$C:$C,Partidos!$X$2,Partidos!$P:$P,"B",Partidos!$G:$G,$B$3,Partidos!$E:$E,$A8))</f>
        <v>0</v>
      </c>
      <c r="D8" s="2">
        <f>IF($A8="","",B8-C8)</f>
        <v>3</v>
      </c>
      <c r="E8" s="11">
        <f>IF($A8="","",IF(B8=0,"",C8/B8))</f>
        <v>0</v>
      </c>
      <c r="F8" s="13" t="str">
        <f>IF($A8="","",(IF($A8="","",SUMIFS(Partidos!$N:$N,Partidos!$C:$C,Partidos!$X$2,Partidos!$D:$D,$B$3,Partidos!$F:$F,$A8)+SUMIFS(Partidos!$N:$N,Partidos!$C:$C,Partidos!$X$2,Partidos!$D:$D,$B$3,Partidos!$G:$G,$A8)+SUMIFS(Partidos!$N:$N,Partidos!$C:$C,Partidos!$X$2,Partidos!$E:$E,$B$3,Partidos!$F:$F,$A8)+SUMIFS(Partidos!$N:$N,Partidos!$C:$C,Partidos!$X$2,Partidos!$E:$E,$B$3,Partidos!$G:$G,$A8)+SUMIFS(Partidos!$O:$O,Partidos!$C:$C,Partidos!$X$2,Partidos!$F:$F,$B$3,Partidos!$D:$D,$A8)+SUMIFS(Partidos!$O:$O,Partidos!$C:$C,Partidos!$X$2,Partidos!$F:$F,$B$3,Partidos!$E:$E,$A8)+SUMIFS(Partidos!$O:$O,Partidos!$C:$C,Partidos!$X$2,Partidos!$G:$G,$B$3,Partidos!$D:$D,$A8)+SUMIFS(Partidos!$O:$O,Partidos!$C:$C,Partidos!$X$2,Partidos!$G:$G,$B$3,Partidos!$E:$E,$A8)))&amp;"-"&amp;(IF($A8="","",SUMIFS(Partidos!$O:$O,Partidos!$C:$C,Partidos!$X$2,Partidos!$D:$D,$B$3,Partidos!$F:$F,$A8)+SUMIFS(Partidos!$O:$O,Partidos!$C:$C,Partidos!$X$2,Partidos!$D:$D,$B$3,Partidos!$G:$G,$A8)+SUMIFS(Partidos!$O:$O,Partidos!$C:$C,Partidos!$X$2,Partidos!$E:$E,$B$3,Partidos!$F:$F,$A8)+SUMIFS(Partidos!$O:$O,Partidos!$C:$C,Partidos!$X$2,Partidos!$E:$E,$B$3,Partidos!$G:$G,$A8)+SUMIFS(Partidos!$N:$N,Partidos!$C:$C,Partidos!$X$2,Partidos!$F:$F,$B$3,Partidos!$D:$D,$A8)+SUMIFS(Partidos!$N:$N,Partidos!$C:$C,Partidos!$X$2,Partidos!$F:$F,$B$3,Partidos!$E:$E,$A8)+SUMIFS(Partidos!$N:$N,Partidos!$C:$C,Partidos!$X$2,Partidos!$G:$G,$B$3,Partidos!$D:$D,$A8)+SUMIFS(Partidos!$N:$N,Partidos!$C:$C,Partidos!$X$2,Partidos!$G:$G,$B$3,Partidos!$E:$E,$A8))))</f>
        <v>0-6</v>
      </c>
      <c r="G8" s="10">
        <f>IF($A8="","",(IF($A8="","",SUMIFS(Partidos!$Q:$Q,Partidos!$C:$C,Partidos!$X$2,Partidos!$D:$D,$B$3,Partidos!$F:$F,$A8)+SUMIFS(Partidos!$Q:$Q,Partidos!$C:$C,Partidos!$X$2,Partidos!$D:$D,$B$3,Partidos!$G:$G,$A8)+SUMIFS(Partidos!$Q:$Q,Partidos!$C:$C,Partidos!$X$2,Partidos!$E:$E,$B$3,Partidos!$F:$F,$A8)+SUMIFS(Partidos!$Q:$Q,Partidos!$C:$C,Partidos!$X$2,Partidos!$E:$E,$B$3,Partidos!$G:$G,$A8)+SUMIFS(Partidos!$R:$R,Partidos!$C:$C,Partidos!$X$2,Partidos!$F:$F,$B$3,Partidos!$D:$D,$A8)+SUMIFS(Partidos!$R:$R,Partidos!$C:$C,Partidos!$X$2,Partidos!$F:$F,$B$3,Partidos!$E:$E,$A8)+SUMIFS(Partidos!$R:$R,Partidos!$C:$C,Partidos!$X$2,Partidos!$G:$G,$B$3,Partidos!$D:$D,$A8)+SUMIFS(Partidos!$R:$R,Partidos!$C:$C,Partidos!$X$2,Partidos!$G:$G,$B$3,Partidos!$E:$E,$A8)))-(IF($A8="","",SUMIFS(Partidos!$R:$R,Partidos!$C:$C,Partidos!$X$2,Partidos!$D:$D,$B$3,Partidos!$F:$F,$A8)+SUMIFS(Partidos!$R:$R,Partidos!$C:$C,Partidos!$X$2,Partidos!$D:$D,$B$3,Partidos!$G:$G,$A8)+SUMIFS(Partidos!$R:$R,Partidos!$C:$C,Partidos!$X$2,Partidos!$E:$E,$B$3,Partidos!$F:$F,$A8)+SUMIFS(Partidos!$R:$R,Partidos!$C:$C,Partidos!$X$2,Partidos!$E:$E,$B$3,Partidos!$G:$G,$A8)+SUMIFS(Partidos!$Q:$Q,Partidos!$C:$C,Partidos!$X$2,Partidos!$F:$F,$B$3,Partidos!$D:$D,$A8)+SUMIFS(Partidos!$Q:$Q,Partidos!$C:$C,Partidos!$X$2,Partidos!$F:$F,$B$3,Partidos!$E:$E,$A8)+SUMIFS(Partidos!$Q:$Q,Partidos!$C:$C,Partidos!$X$2,Partidos!$G:$G,$B$3,Partidos!$D:$D,$A8)+SUMIFS(Partidos!$Q:$Q,Partidos!$C:$C,Partidos!$X$2,Partidos!$G:$G,$B$3,Partidos!$E:$E,$A8))))</f>
        <v>-21</v>
      </c>
      <c r="H8" s="2"/>
      <c r="J8">
        <f t="shared" si="0"/>
        <v>10</v>
      </c>
      <c r="K8">
        <f t="shared" si="1"/>
        <v>10</v>
      </c>
      <c r="M8" s="12" t="str">
        <f>IFERROR(INDEX($A$6:$A$65,IF($K$2="PJ",MATCH(3,$J$6:$J$65,0),MATCH(3,$K$6:$K$65,0))),"")</f>
        <v>Javier Bonilla</v>
      </c>
      <c r="N8" s="10">
        <f>IFERROR(INDEX($B$6:$B$65,IF($K$2="PJ",MATCH(3,$J$6:$J$65,0),MATCH(3,$K$6:$K$65,0))),"")</f>
        <v>7</v>
      </c>
      <c r="O8" s="10">
        <f>IFERROR(INDEX($C$6:$C$65,IF($K$2="PJ",MATCH(3,$J$6:$J$65,0),MATCH(3,$K$6:$K$65,0))),"")</f>
        <v>2</v>
      </c>
      <c r="P8" s="10">
        <f>IFERROR(INDEX($D$6:$D$65,IF($K$2="PJ",MATCH(3,$J$6:$J$65,0),MATCH(3,$K$6:$K$65,0))),"")</f>
        <v>5</v>
      </c>
      <c r="Q8" s="11">
        <f>IFERROR(INDEX($E$6:$E$65,IF($K$2="PJ",MATCH(3,$J$6:$J$65,0),MATCH(3,$K$6:$K$65,0))),"")</f>
        <v>0.2857142857142857</v>
      </c>
    </row>
    <row r="9" spans="1:17" x14ac:dyDescent="0.3">
      <c r="A9" s="6" t="str">
        <f>IF(Jugadores!B7="","",IF(Jugadores!B7=$B$3,"",Jugadores!B7))</f>
        <v>Israel Suárez</v>
      </c>
      <c r="B9" s="2">
        <f>IF($A9="","",COUNTIFS(Partidos!$C:$C,Partidos!$X$2,Partidos!$D:$D,$B$3,Partidos!$F:$F,$A9)+COUNTIFS(Partidos!$C:$C,Partidos!$X$2,Partidos!$D:$D,$B$3,Partidos!$G:$G,$A9)+COUNTIFS(Partidos!$C:$C,Partidos!$X$2,Partidos!$E:$E,$B$3,Partidos!$F:$F,$A9)+COUNTIFS(Partidos!$C:$C,Partidos!$X$2,Partidos!$E:$E,$B$3,Partidos!$G:$G,$A9)+COUNTIFS(Partidos!$C:$C,Partidos!$X$2,Partidos!$F:$F,$B$3,Partidos!$D:$D,$A9)+COUNTIFS(Partidos!$C:$C,Partidos!$X$2,Partidos!$F:$F,$B$3,Partidos!$E:$E,$A9)+COUNTIFS(Partidos!$C:$C,Partidos!$X$2,Partidos!$G:$G,$B$3,Partidos!$D:$D,$A9)+COUNTIFS(Partidos!$C:$C,Partidos!$X$2,Partidos!$G:$G,$B$3,Partidos!$E:$E,$A9))</f>
        <v>6</v>
      </c>
      <c r="C9" s="2">
        <f>IF($A9="","",COUNTIFS(Partidos!$C:$C,Partidos!$X$2,Partidos!$P:$P,"A",Partidos!$D:$D,$B$3,Partidos!$F:$F,$A9)+COUNTIFS(Partidos!$C:$C,Partidos!$X$2,Partidos!$P:$P,"A",Partidos!$D:$D,$B$3,Partidos!$G:$G,$A9)+COUNTIFS(Partidos!$C:$C,Partidos!$X$2,Partidos!$P:$P,"A",Partidos!$E:$E,$B$3,Partidos!$F:$F,$A9)+COUNTIFS(Partidos!$C:$C,Partidos!$X$2,Partidos!$P:$P,"A",Partidos!$E:$E,$B$3,Partidos!$G:$G,$A9)+COUNTIFS(Partidos!$C:$C,Partidos!$X$2,Partidos!$P:$P,"B",Partidos!$F:$F,$B$3,Partidos!$D:$D,$A9)+COUNTIFS(Partidos!$C:$C,Partidos!$X$2,Partidos!$P:$P,"B",Partidos!$F:$F,$B$3,Partidos!$E:$E,$A9)+COUNTIFS(Partidos!$C:$C,Partidos!$X$2,Partidos!$P:$P,"B",Partidos!$G:$G,$B$3,Partidos!$D:$D,$A9)+COUNTIFS(Partidos!$C:$C,Partidos!$X$2,Partidos!$P:$P,"B",Partidos!$G:$G,$B$3,Partidos!$E:$E,$A9))</f>
        <v>0</v>
      </c>
      <c r="D9" s="2">
        <f>IF($A9="","",B9-C9)</f>
        <v>6</v>
      </c>
      <c r="E9" s="11">
        <f>IF($A9="","",IF(B9=0,"",C9/B9))</f>
        <v>0</v>
      </c>
      <c r="F9" s="13" t="str">
        <f>IF($A9="","",(IF($A9="","",SUMIFS(Partidos!$N:$N,Partidos!$C:$C,Partidos!$X$2,Partidos!$D:$D,$B$3,Partidos!$F:$F,$A9)+SUMIFS(Partidos!$N:$N,Partidos!$C:$C,Partidos!$X$2,Partidos!$D:$D,$B$3,Partidos!$G:$G,$A9)+SUMIFS(Partidos!$N:$N,Partidos!$C:$C,Partidos!$X$2,Partidos!$E:$E,$B$3,Partidos!$F:$F,$A9)+SUMIFS(Partidos!$N:$N,Partidos!$C:$C,Partidos!$X$2,Partidos!$E:$E,$B$3,Partidos!$G:$G,$A9)+SUMIFS(Partidos!$O:$O,Partidos!$C:$C,Partidos!$X$2,Partidos!$F:$F,$B$3,Partidos!$D:$D,$A9)+SUMIFS(Partidos!$O:$O,Partidos!$C:$C,Partidos!$X$2,Partidos!$F:$F,$B$3,Partidos!$E:$E,$A9)+SUMIFS(Partidos!$O:$O,Partidos!$C:$C,Partidos!$X$2,Partidos!$G:$G,$B$3,Partidos!$D:$D,$A9)+SUMIFS(Partidos!$O:$O,Partidos!$C:$C,Partidos!$X$2,Partidos!$G:$G,$B$3,Partidos!$E:$E,$A9)))&amp;"-"&amp;(IF($A9="","",SUMIFS(Partidos!$O:$O,Partidos!$C:$C,Partidos!$X$2,Partidos!$D:$D,$B$3,Partidos!$F:$F,$A9)+SUMIFS(Partidos!$O:$O,Partidos!$C:$C,Partidos!$X$2,Partidos!$D:$D,$B$3,Partidos!$G:$G,$A9)+SUMIFS(Partidos!$O:$O,Partidos!$C:$C,Partidos!$X$2,Partidos!$E:$E,$B$3,Partidos!$F:$F,$A9)+SUMIFS(Partidos!$O:$O,Partidos!$C:$C,Partidos!$X$2,Partidos!$E:$E,$B$3,Partidos!$G:$G,$A9)+SUMIFS(Partidos!$N:$N,Partidos!$C:$C,Partidos!$X$2,Partidos!$F:$F,$B$3,Partidos!$D:$D,$A9)+SUMIFS(Partidos!$N:$N,Partidos!$C:$C,Partidos!$X$2,Partidos!$F:$F,$B$3,Partidos!$E:$E,$A9)+SUMIFS(Partidos!$N:$N,Partidos!$C:$C,Partidos!$X$2,Partidos!$G:$G,$B$3,Partidos!$D:$D,$A9)+SUMIFS(Partidos!$N:$N,Partidos!$C:$C,Partidos!$X$2,Partidos!$G:$G,$B$3,Partidos!$E:$E,$A9))))</f>
        <v>4-12</v>
      </c>
      <c r="G9" s="10">
        <f>IF($A9="","",(IF($A9="","",SUMIFS(Partidos!$Q:$Q,Partidos!$C:$C,Partidos!$X$2,Partidos!$D:$D,$B$3,Partidos!$F:$F,$A9)+SUMIFS(Partidos!$Q:$Q,Partidos!$C:$C,Partidos!$X$2,Partidos!$D:$D,$B$3,Partidos!$G:$G,$A9)+SUMIFS(Partidos!$Q:$Q,Partidos!$C:$C,Partidos!$X$2,Partidos!$E:$E,$B$3,Partidos!$F:$F,$A9)+SUMIFS(Partidos!$Q:$Q,Partidos!$C:$C,Partidos!$X$2,Partidos!$E:$E,$B$3,Partidos!$G:$G,$A9)+SUMIFS(Partidos!$R:$R,Partidos!$C:$C,Partidos!$X$2,Partidos!$F:$F,$B$3,Partidos!$D:$D,$A9)+SUMIFS(Partidos!$R:$R,Partidos!$C:$C,Partidos!$X$2,Partidos!$F:$F,$B$3,Partidos!$E:$E,$A9)+SUMIFS(Partidos!$R:$R,Partidos!$C:$C,Partidos!$X$2,Partidos!$G:$G,$B$3,Partidos!$D:$D,$A9)+SUMIFS(Partidos!$R:$R,Partidos!$C:$C,Partidos!$X$2,Partidos!$G:$G,$B$3,Partidos!$E:$E,$A9)))-(IF($A9="","",SUMIFS(Partidos!$R:$R,Partidos!$C:$C,Partidos!$X$2,Partidos!$D:$D,$B$3,Partidos!$F:$F,$A9)+SUMIFS(Partidos!$R:$R,Partidos!$C:$C,Partidos!$X$2,Partidos!$D:$D,$B$3,Partidos!$G:$G,$A9)+SUMIFS(Partidos!$R:$R,Partidos!$C:$C,Partidos!$X$2,Partidos!$E:$E,$B$3,Partidos!$F:$F,$A9)+SUMIFS(Partidos!$R:$R,Partidos!$C:$C,Partidos!$X$2,Partidos!$E:$E,$B$3,Partidos!$G:$G,$A9)+SUMIFS(Partidos!$Q:$Q,Partidos!$C:$C,Partidos!$X$2,Partidos!$F:$F,$B$3,Partidos!$D:$D,$A9)+SUMIFS(Partidos!$Q:$Q,Partidos!$C:$C,Partidos!$X$2,Partidos!$F:$F,$B$3,Partidos!$E:$E,$A9)+SUMIFS(Partidos!$Q:$Q,Partidos!$C:$C,Partidos!$X$2,Partidos!$G:$G,$B$3,Partidos!$D:$D,$A9)+SUMIFS(Partidos!$Q:$Q,Partidos!$C:$C,Partidos!$X$2,Partidos!$G:$G,$B$3,Partidos!$E:$E,$A9))))</f>
        <v>-21</v>
      </c>
      <c r="H9" s="2"/>
      <c r="J9">
        <f t="shared" si="0"/>
        <v>4</v>
      </c>
      <c r="K9">
        <f t="shared" si="1"/>
        <v>8</v>
      </c>
      <c r="M9" s="12" t="str">
        <f>IFERROR(INDEX($A$6:$A$65,IF($K$2="PJ",MATCH(4,$J$6:$J$65,0),MATCH(4,$K$6:$K$65,0))),"")</f>
        <v>Alberto Pulido</v>
      </c>
      <c r="N9" s="10">
        <f>IFERROR(INDEX($B$6:$B$65,IF($K$2="PJ",MATCH(4,$J$6:$J$65,0),MATCH(4,$K$6:$K$65,0))),"")</f>
        <v>6</v>
      </c>
      <c r="O9" s="10">
        <f>IFERROR(INDEX($C$6:$C$65,IF($K$2="PJ",MATCH(4,$J$6:$J$65,0),MATCH(4,$K$6:$K$65,0))),"")</f>
        <v>1</v>
      </c>
      <c r="P9" s="10">
        <f>IFERROR(INDEX($D$6:$D$65,IF($K$2="PJ",MATCH(4,$J$6:$J$65,0),MATCH(4,$K$6:$K$65,0))),"")</f>
        <v>5</v>
      </c>
      <c r="Q9" s="11">
        <f>IFERROR(INDEX($E$6:$E$65,IF($K$2="PJ",MATCH(4,$J$6:$J$65,0),MATCH(4,$K$6:$K$65,0))),"")</f>
        <v>0.16666666666666666</v>
      </c>
    </row>
    <row r="10" spans="1:17" x14ac:dyDescent="0.3">
      <c r="A10" s="6" t="str">
        <f>IF(Jugadores!B12="","",IF(Jugadores!B12=$B$3,"",Jugadores!B12))</f>
        <v>José Fernando</v>
      </c>
      <c r="B10" s="2">
        <f>IF($A10="","",COUNTIFS(Partidos!$C:$C,Partidos!$X$2,Partidos!$D:$D,$B$3,Partidos!$F:$F,$A10)+COUNTIFS(Partidos!$C:$C,Partidos!$X$2,Partidos!$D:$D,$B$3,Partidos!$G:$G,$A10)+COUNTIFS(Partidos!$C:$C,Partidos!$X$2,Partidos!$E:$E,$B$3,Partidos!$F:$F,$A10)+COUNTIFS(Partidos!$C:$C,Partidos!$X$2,Partidos!$E:$E,$B$3,Partidos!$G:$G,$A10)+COUNTIFS(Partidos!$C:$C,Partidos!$X$2,Partidos!$F:$F,$B$3,Partidos!$D:$D,$A10)+COUNTIFS(Partidos!$C:$C,Partidos!$X$2,Partidos!$F:$F,$B$3,Partidos!$E:$E,$A10)+COUNTIFS(Partidos!$C:$C,Partidos!$X$2,Partidos!$G:$G,$B$3,Partidos!$D:$D,$A10)+COUNTIFS(Partidos!$C:$C,Partidos!$X$2,Partidos!$G:$G,$B$3,Partidos!$E:$E,$A10))</f>
        <v>1</v>
      </c>
      <c r="C10" s="2">
        <f>IF($A10="","",COUNTIFS(Partidos!$C:$C,Partidos!$X$2,Partidos!$P:$P,"A",Partidos!$D:$D,$B$3,Partidos!$F:$F,$A10)+COUNTIFS(Partidos!$C:$C,Partidos!$X$2,Partidos!$P:$P,"A",Partidos!$D:$D,$B$3,Partidos!$G:$G,$A10)+COUNTIFS(Partidos!$C:$C,Partidos!$X$2,Partidos!$P:$P,"A",Partidos!$E:$E,$B$3,Partidos!$F:$F,$A10)+COUNTIFS(Partidos!$C:$C,Partidos!$X$2,Partidos!$P:$P,"A",Partidos!$E:$E,$B$3,Partidos!$G:$G,$A10)+COUNTIFS(Partidos!$C:$C,Partidos!$X$2,Partidos!$P:$P,"B",Partidos!$F:$F,$B$3,Partidos!$D:$D,$A10)+COUNTIFS(Partidos!$C:$C,Partidos!$X$2,Partidos!$P:$P,"B",Partidos!$F:$F,$B$3,Partidos!$E:$E,$A10)+COUNTIFS(Partidos!$C:$C,Partidos!$X$2,Partidos!$P:$P,"B",Partidos!$G:$G,$B$3,Partidos!$D:$D,$A10)+COUNTIFS(Partidos!$C:$C,Partidos!$X$2,Partidos!$P:$P,"B",Partidos!$G:$G,$B$3,Partidos!$E:$E,$A10))</f>
        <v>0</v>
      </c>
      <c r="D10" s="2">
        <f>IF($A10="","",B10-C10)</f>
        <v>1</v>
      </c>
      <c r="E10" s="11">
        <f>IF($A10="","",IF(B10=0,"",C10/B10))</f>
        <v>0</v>
      </c>
      <c r="F10" s="13" t="str">
        <f>IF($A10="","",(IF($A10="","",SUMIFS(Partidos!$N:$N,Partidos!$C:$C,Partidos!$X$2,Partidos!$D:$D,$B$3,Partidos!$F:$F,$A10)+SUMIFS(Partidos!$N:$N,Partidos!$C:$C,Partidos!$X$2,Partidos!$D:$D,$B$3,Partidos!$G:$G,$A10)+SUMIFS(Partidos!$N:$N,Partidos!$C:$C,Partidos!$X$2,Partidos!$E:$E,$B$3,Partidos!$F:$F,$A10)+SUMIFS(Partidos!$N:$N,Partidos!$C:$C,Partidos!$X$2,Partidos!$E:$E,$B$3,Partidos!$G:$G,$A10)+SUMIFS(Partidos!$O:$O,Partidos!$C:$C,Partidos!$X$2,Partidos!$F:$F,$B$3,Partidos!$D:$D,$A10)+SUMIFS(Partidos!$O:$O,Partidos!$C:$C,Partidos!$X$2,Partidos!$F:$F,$B$3,Partidos!$E:$E,$A10)+SUMIFS(Partidos!$O:$O,Partidos!$C:$C,Partidos!$X$2,Partidos!$G:$G,$B$3,Partidos!$D:$D,$A10)+SUMIFS(Partidos!$O:$O,Partidos!$C:$C,Partidos!$X$2,Partidos!$G:$G,$B$3,Partidos!$E:$E,$A10)))&amp;"-"&amp;(IF($A10="","",SUMIFS(Partidos!$O:$O,Partidos!$C:$C,Partidos!$X$2,Partidos!$D:$D,$B$3,Partidos!$F:$F,$A10)+SUMIFS(Partidos!$O:$O,Partidos!$C:$C,Partidos!$X$2,Partidos!$D:$D,$B$3,Partidos!$G:$G,$A10)+SUMIFS(Partidos!$O:$O,Partidos!$C:$C,Partidos!$X$2,Partidos!$E:$E,$B$3,Partidos!$F:$F,$A10)+SUMIFS(Partidos!$O:$O,Partidos!$C:$C,Partidos!$X$2,Partidos!$E:$E,$B$3,Partidos!$G:$G,$A10)+SUMIFS(Partidos!$N:$N,Partidos!$C:$C,Partidos!$X$2,Partidos!$F:$F,$B$3,Partidos!$D:$D,$A10)+SUMIFS(Partidos!$N:$N,Partidos!$C:$C,Partidos!$X$2,Partidos!$F:$F,$B$3,Partidos!$E:$E,$A10)+SUMIFS(Partidos!$N:$N,Partidos!$C:$C,Partidos!$X$2,Partidos!$G:$G,$B$3,Partidos!$D:$D,$A10)+SUMIFS(Partidos!$N:$N,Partidos!$C:$C,Partidos!$X$2,Partidos!$G:$G,$B$3,Partidos!$E:$E,$A10))))</f>
        <v>1-2</v>
      </c>
      <c r="G10" s="10">
        <f>IF($A10="","",(IF($A10="","",SUMIFS(Partidos!$Q:$Q,Partidos!$C:$C,Partidos!$X$2,Partidos!$D:$D,$B$3,Partidos!$F:$F,$A10)+SUMIFS(Partidos!$Q:$Q,Partidos!$C:$C,Partidos!$X$2,Partidos!$D:$D,$B$3,Partidos!$G:$G,$A10)+SUMIFS(Partidos!$Q:$Q,Partidos!$C:$C,Partidos!$X$2,Partidos!$E:$E,$B$3,Partidos!$F:$F,$A10)+SUMIFS(Partidos!$Q:$Q,Partidos!$C:$C,Partidos!$X$2,Partidos!$E:$E,$B$3,Partidos!$G:$G,$A10)+SUMIFS(Partidos!$R:$R,Partidos!$C:$C,Partidos!$X$2,Partidos!$F:$F,$B$3,Partidos!$D:$D,$A10)+SUMIFS(Partidos!$R:$R,Partidos!$C:$C,Partidos!$X$2,Partidos!$F:$F,$B$3,Partidos!$E:$E,$A10)+SUMIFS(Partidos!$R:$R,Partidos!$C:$C,Partidos!$X$2,Partidos!$G:$G,$B$3,Partidos!$D:$D,$A10)+SUMIFS(Partidos!$R:$R,Partidos!$C:$C,Partidos!$X$2,Partidos!$G:$G,$B$3,Partidos!$E:$E,$A10)))-(IF($A10="","",SUMIFS(Partidos!$R:$R,Partidos!$C:$C,Partidos!$X$2,Partidos!$D:$D,$B$3,Partidos!$F:$F,$A10)+SUMIFS(Partidos!$R:$R,Partidos!$C:$C,Partidos!$X$2,Partidos!$D:$D,$B$3,Partidos!$G:$G,$A10)+SUMIFS(Partidos!$R:$R,Partidos!$C:$C,Partidos!$X$2,Partidos!$E:$E,$B$3,Partidos!$F:$F,$A10)+SUMIFS(Partidos!$R:$R,Partidos!$C:$C,Partidos!$X$2,Partidos!$E:$E,$B$3,Partidos!$G:$G,$A10)+SUMIFS(Partidos!$Q:$Q,Partidos!$C:$C,Partidos!$X$2,Partidos!$F:$F,$B$3,Partidos!$D:$D,$A10)+SUMIFS(Partidos!$Q:$Q,Partidos!$C:$C,Partidos!$X$2,Partidos!$F:$F,$B$3,Partidos!$E:$E,$A10)+SUMIFS(Partidos!$Q:$Q,Partidos!$C:$C,Partidos!$X$2,Partidos!$G:$G,$B$3,Partidos!$D:$D,$A10)+SUMIFS(Partidos!$Q:$Q,Partidos!$C:$C,Partidos!$X$2,Partidos!$G:$G,$B$3,Partidos!$E:$E,$A10))))</f>
        <v>-4</v>
      </c>
      <c r="H10" s="2"/>
      <c r="J10">
        <f t="shared" si="0"/>
        <v>12</v>
      </c>
      <c r="K10">
        <f t="shared" si="1"/>
        <v>12</v>
      </c>
      <c r="M10" s="12" t="str">
        <f>IFERROR(INDEX($A$6:$A$65,IF($K$2="PJ",MATCH(5,$J$6:$J$65,0),MATCH(5,$K$6:$K$65,0))),"")</f>
        <v>Alberto Nunes</v>
      </c>
      <c r="N10" s="10">
        <f>IFERROR(INDEX($B$6:$B$65,IF($K$2="PJ",MATCH(5,$J$6:$J$65,0),MATCH(5,$K$6:$K$65,0))),"")</f>
        <v>6</v>
      </c>
      <c r="O10" s="10">
        <f>IFERROR(INDEX($C$6:$C$65,IF($K$2="PJ",MATCH(5,$J$6:$J$65,0),MATCH(5,$K$6:$K$65,0))),"")</f>
        <v>1</v>
      </c>
      <c r="P10" s="10">
        <f>IFERROR(INDEX($D$6:$D$65,IF($K$2="PJ",MATCH(5,$J$6:$J$65,0),MATCH(5,$K$6:$K$65,0))),"")</f>
        <v>5</v>
      </c>
      <c r="Q10" s="11">
        <f>IFERROR(INDEX($E$6:$E$65,IF($K$2="PJ",MATCH(5,$J$6:$J$65,0),MATCH(5,$K$6:$K$65,0))),"")</f>
        <v>0.16666666666666666</v>
      </c>
    </row>
    <row r="11" spans="1:17" x14ac:dyDescent="0.3">
      <c r="A11" s="6" t="str">
        <f>IF(Jugadores!B2="","",IF(Jugadores!B2=$B$3,"",Jugadores!B2))</f>
        <v>Javier suarez</v>
      </c>
      <c r="B11" s="2">
        <f>IF($A11="","",COUNTIFS(Partidos!$C:$C,Partidos!$X$2,Partidos!$D:$D,$B$3,Partidos!$F:$F,$A11)+COUNTIFS(Partidos!$C:$C,Partidos!$X$2,Partidos!$D:$D,$B$3,Partidos!$G:$G,$A11)+COUNTIFS(Partidos!$C:$C,Partidos!$X$2,Partidos!$E:$E,$B$3,Partidos!$F:$F,$A11)+COUNTIFS(Partidos!$C:$C,Partidos!$X$2,Partidos!$E:$E,$B$3,Partidos!$G:$G,$A11)+COUNTIFS(Partidos!$C:$C,Partidos!$X$2,Partidos!$F:$F,$B$3,Partidos!$D:$D,$A11)+COUNTIFS(Partidos!$C:$C,Partidos!$X$2,Partidos!$F:$F,$B$3,Partidos!$E:$E,$A11)+COUNTIFS(Partidos!$C:$C,Partidos!$X$2,Partidos!$G:$G,$B$3,Partidos!$D:$D,$A11)+COUNTIFS(Partidos!$C:$C,Partidos!$X$2,Partidos!$G:$G,$B$3,Partidos!$E:$E,$A11))</f>
        <v>10</v>
      </c>
      <c r="C11" s="2">
        <f>IF($A11="","",COUNTIFS(Partidos!$C:$C,Partidos!$X$2,Partidos!$P:$P,"A",Partidos!$D:$D,$B$3,Partidos!$F:$F,$A11)+COUNTIFS(Partidos!$C:$C,Partidos!$X$2,Partidos!$P:$P,"A",Partidos!$D:$D,$B$3,Partidos!$G:$G,$A11)+COUNTIFS(Partidos!$C:$C,Partidos!$X$2,Partidos!$P:$P,"A",Partidos!$E:$E,$B$3,Partidos!$F:$F,$A11)+COUNTIFS(Partidos!$C:$C,Partidos!$X$2,Partidos!$P:$P,"A",Partidos!$E:$E,$B$3,Partidos!$G:$G,$A11)+COUNTIFS(Partidos!$C:$C,Partidos!$X$2,Partidos!$P:$P,"B",Partidos!$F:$F,$B$3,Partidos!$D:$D,$A11)+COUNTIFS(Partidos!$C:$C,Partidos!$X$2,Partidos!$P:$P,"B",Partidos!$F:$F,$B$3,Partidos!$E:$E,$A11)+COUNTIFS(Partidos!$C:$C,Partidos!$X$2,Partidos!$P:$P,"B",Partidos!$G:$G,$B$3,Partidos!$D:$D,$A11)+COUNTIFS(Partidos!$C:$C,Partidos!$X$2,Partidos!$P:$P,"B",Partidos!$G:$G,$B$3,Partidos!$E:$E,$A11))</f>
        <v>1</v>
      </c>
      <c r="D11" s="2">
        <f>IF($A11="","",B11-C11)</f>
        <v>9</v>
      </c>
      <c r="E11" s="11">
        <f>IF($A11="","",IF(B11=0,"",C11/B11))</f>
        <v>0.1</v>
      </c>
      <c r="F11" s="13" t="str">
        <f>IF($A11="","",(IF($A11="","",SUMIFS(Partidos!$N:$N,Partidos!$C:$C,Partidos!$X$2,Partidos!$D:$D,$B$3,Partidos!$F:$F,$A11)+SUMIFS(Partidos!$N:$N,Partidos!$C:$C,Partidos!$X$2,Partidos!$D:$D,$B$3,Partidos!$G:$G,$A11)+SUMIFS(Partidos!$N:$N,Partidos!$C:$C,Partidos!$X$2,Partidos!$E:$E,$B$3,Partidos!$F:$F,$A11)+SUMIFS(Partidos!$N:$N,Partidos!$C:$C,Partidos!$X$2,Partidos!$E:$E,$B$3,Partidos!$G:$G,$A11)+SUMIFS(Partidos!$O:$O,Partidos!$C:$C,Partidos!$X$2,Partidos!$F:$F,$B$3,Partidos!$D:$D,$A11)+SUMIFS(Partidos!$O:$O,Partidos!$C:$C,Partidos!$X$2,Partidos!$F:$F,$B$3,Partidos!$E:$E,$A11)+SUMIFS(Partidos!$O:$O,Partidos!$C:$C,Partidos!$X$2,Partidos!$G:$G,$B$3,Partidos!$D:$D,$A11)+SUMIFS(Partidos!$O:$O,Partidos!$C:$C,Partidos!$X$2,Partidos!$G:$G,$B$3,Partidos!$E:$E,$A11)))&amp;"-"&amp;(IF($A11="","",SUMIFS(Partidos!$O:$O,Partidos!$C:$C,Partidos!$X$2,Partidos!$D:$D,$B$3,Partidos!$F:$F,$A11)+SUMIFS(Partidos!$O:$O,Partidos!$C:$C,Partidos!$X$2,Partidos!$D:$D,$B$3,Partidos!$G:$G,$A11)+SUMIFS(Partidos!$O:$O,Partidos!$C:$C,Partidos!$X$2,Partidos!$E:$E,$B$3,Partidos!$F:$F,$A11)+SUMIFS(Partidos!$O:$O,Partidos!$C:$C,Partidos!$X$2,Partidos!$E:$E,$B$3,Partidos!$G:$G,$A11)+SUMIFS(Partidos!$N:$N,Partidos!$C:$C,Partidos!$X$2,Partidos!$F:$F,$B$3,Partidos!$D:$D,$A11)+SUMIFS(Partidos!$N:$N,Partidos!$C:$C,Partidos!$X$2,Partidos!$F:$F,$B$3,Partidos!$E:$E,$A11)+SUMIFS(Partidos!$N:$N,Partidos!$C:$C,Partidos!$X$2,Partidos!$G:$G,$B$3,Partidos!$D:$D,$A11)+SUMIFS(Partidos!$N:$N,Partidos!$C:$C,Partidos!$X$2,Partidos!$G:$G,$B$3,Partidos!$E:$E,$A11))))</f>
        <v>2-19</v>
      </c>
      <c r="G11" s="10">
        <f>IF($A11="","",(IF($A11="","",SUMIFS(Partidos!$Q:$Q,Partidos!$C:$C,Partidos!$X$2,Partidos!$D:$D,$B$3,Partidos!$F:$F,$A11)+SUMIFS(Partidos!$Q:$Q,Partidos!$C:$C,Partidos!$X$2,Partidos!$D:$D,$B$3,Partidos!$G:$G,$A11)+SUMIFS(Partidos!$Q:$Q,Partidos!$C:$C,Partidos!$X$2,Partidos!$E:$E,$B$3,Partidos!$F:$F,$A11)+SUMIFS(Partidos!$Q:$Q,Partidos!$C:$C,Partidos!$X$2,Partidos!$E:$E,$B$3,Partidos!$G:$G,$A11)+SUMIFS(Partidos!$R:$R,Partidos!$C:$C,Partidos!$X$2,Partidos!$F:$F,$B$3,Partidos!$D:$D,$A11)+SUMIFS(Partidos!$R:$R,Partidos!$C:$C,Partidos!$X$2,Partidos!$F:$F,$B$3,Partidos!$E:$E,$A11)+SUMIFS(Partidos!$R:$R,Partidos!$C:$C,Partidos!$X$2,Partidos!$G:$G,$B$3,Partidos!$D:$D,$A11)+SUMIFS(Partidos!$R:$R,Partidos!$C:$C,Partidos!$X$2,Partidos!$G:$G,$B$3,Partidos!$E:$E,$A11)))-(IF($A11="","",SUMIFS(Partidos!$R:$R,Partidos!$C:$C,Partidos!$X$2,Partidos!$D:$D,$B$3,Partidos!$F:$F,$A11)+SUMIFS(Partidos!$R:$R,Partidos!$C:$C,Partidos!$X$2,Partidos!$D:$D,$B$3,Partidos!$G:$G,$A11)+SUMIFS(Partidos!$R:$R,Partidos!$C:$C,Partidos!$X$2,Partidos!$E:$E,$B$3,Partidos!$F:$F,$A11)+SUMIFS(Partidos!$R:$R,Partidos!$C:$C,Partidos!$X$2,Partidos!$E:$E,$B$3,Partidos!$G:$G,$A11)+SUMIFS(Partidos!$Q:$Q,Partidos!$C:$C,Partidos!$X$2,Partidos!$F:$F,$B$3,Partidos!$D:$D,$A11)+SUMIFS(Partidos!$Q:$Q,Partidos!$C:$C,Partidos!$X$2,Partidos!$F:$F,$B$3,Partidos!$E:$E,$A11)+SUMIFS(Partidos!$Q:$Q,Partidos!$C:$C,Partidos!$X$2,Partidos!$G:$G,$B$3,Partidos!$D:$D,$A11)+SUMIFS(Partidos!$Q:$Q,Partidos!$C:$C,Partidos!$X$2,Partidos!$G:$G,$B$3,Partidos!$E:$E,$A11))))</f>
        <v>-72</v>
      </c>
      <c r="H11" s="2"/>
      <c r="J11">
        <f t="shared" si="0"/>
        <v>1</v>
      </c>
      <c r="K11">
        <f t="shared" si="1"/>
        <v>7</v>
      </c>
      <c r="M11" s="12" t="str">
        <f>IFERROR(INDEX($A$6:$A$65,IF($K$2="PJ",MATCH(6,$J$6:$J$65,0),MATCH(6,$K$6:$K$65,0))),"")</f>
        <v>Carmelo Rosario</v>
      </c>
      <c r="N11" s="10">
        <f>IFERROR(INDEX($B$6:$B$65,IF($K$2="PJ",MATCH(6,$J$6:$J$65,0),MATCH(6,$K$6:$K$65,0))),"")</f>
        <v>8</v>
      </c>
      <c r="O11" s="10">
        <f>IFERROR(INDEX($C$6:$C$65,IF($K$2="PJ",MATCH(6,$J$6:$J$65,0),MATCH(6,$K$6:$K$65,0))),"")</f>
        <v>1</v>
      </c>
      <c r="P11" s="10">
        <f>IFERROR(INDEX($D$6:$D$65,IF($K$2="PJ",MATCH(6,$J$6:$J$65,0),MATCH(6,$K$6:$K$65,0))),"")</f>
        <v>7</v>
      </c>
      <c r="Q11" s="11">
        <f>IFERROR(INDEX($E$6:$E$65,IF($K$2="PJ",MATCH(6,$J$6:$J$65,0),MATCH(6,$K$6:$K$65,0))),"")</f>
        <v>0.125</v>
      </c>
    </row>
    <row r="12" spans="1:17" x14ac:dyDescent="0.3">
      <c r="A12" s="6" t="str">
        <f>IF(Jugadores!B6="","",IF(Jugadores!B6=$B$3,"",Jugadores!B6))</f>
        <v>Carmelo Rosario</v>
      </c>
      <c r="B12" s="2">
        <f>IF($A12="","",COUNTIFS(Partidos!$C:$C,Partidos!$X$2,Partidos!$D:$D,$B$3,Partidos!$F:$F,$A12)+COUNTIFS(Partidos!$C:$C,Partidos!$X$2,Partidos!$D:$D,$B$3,Partidos!$G:$G,$A12)+COUNTIFS(Partidos!$C:$C,Partidos!$X$2,Partidos!$E:$E,$B$3,Partidos!$F:$F,$A12)+COUNTIFS(Partidos!$C:$C,Partidos!$X$2,Partidos!$E:$E,$B$3,Partidos!$G:$G,$A12)+COUNTIFS(Partidos!$C:$C,Partidos!$X$2,Partidos!$F:$F,$B$3,Partidos!$D:$D,$A12)+COUNTIFS(Partidos!$C:$C,Partidos!$X$2,Partidos!$F:$F,$B$3,Partidos!$E:$E,$A12)+COUNTIFS(Partidos!$C:$C,Partidos!$X$2,Partidos!$G:$G,$B$3,Partidos!$D:$D,$A12)+COUNTIFS(Partidos!$C:$C,Partidos!$X$2,Partidos!$G:$G,$B$3,Partidos!$E:$E,$A12))</f>
        <v>8</v>
      </c>
      <c r="C12" s="2">
        <f>IF($A12="","",COUNTIFS(Partidos!$C:$C,Partidos!$X$2,Partidos!$P:$P,"A",Partidos!$D:$D,$B$3,Partidos!$F:$F,$A12)+COUNTIFS(Partidos!$C:$C,Partidos!$X$2,Partidos!$P:$P,"A",Partidos!$D:$D,$B$3,Partidos!$G:$G,$A12)+COUNTIFS(Partidos!$C:$C,Partidos!$X$2,Partidos!$P:$P,"A",Partidos!$E:$E,$B$3,Partidos!$F:$F,$A12)+COUNTIFS(Partidos!$C:$C,Partidos!$X$2,Partidos!$P:$P,"A",Partidos!$E:$E,$B$3,Partidos!$G:$G,$A12)+COUNTIFS(Partidos!$C:$C,Partidos!$X$2,Partidos!$P:$P,"B",Partidos!$F:$F,$B$3,Partidos!$D:$D,$A12)+COUNTIFS(Partidos!$C:$C,Partidos!$X$2,Partidos!$P:$P,"B",Partidos!$F:$F,$B$3,Partidos!$E:$E,$A12)+COUNTIFS(Partidos!$C:$C,Partidos!$X$2,Partidos!$P:$P,"B",Partidos!$G:$G,$B$3,Partidos!$D:$D,$A12)+COUNTIFS(Partidos!$C:$C,Partidos!$X$2,Partidos!$P:$P,"B",Partidos!$G:$G,$B$3,Partidos!$E:$E,$A12))</f>
        <v>1</v>
      </c>
      <c r="D12" s="2">
        <f>IF($A12="","",B12-C12)</f>
        <v>7</v>
      </c>
      <c r="E12" s="11">
        <f>IF($A12="","",IF(B12=0,"",C12/B12))</f>
        <v>0.125</v>
      </c>
      <c r="F12" s="13" t="str">
        <f>IF($A12="","",(IF($A12="","",SUMIFS(Partidos!$N:$N,Partidos!$C:$C,Partidos!$X$2,Partidos!$D:$D,$B$3,Partidos!$F:$F,$A12)+SUMIFS(Partidos!$N:$N,Partidos!$C:$C,Partidos!$X$2,Partidos!$D:$D,$B$3,Partidos!$G:$G,$A12)+SUMIFS(Partidos!$N:$N,Partidos!$C:$C,Partidos!$X$2,Partidos!$E:$E,$B$3,Partidos!$F:$F,$A12)+SUMIFS(Partidos!$N:$N,Partidos!$C:$C,Partidos!$X$2,Partidos!$E:$E,$B$3,Partidos!$G:$G,$A12)+SUMIFS(Partidos!$O:$O,Partidos!$C:$C,Partidos!$X$2,Partidos!$F:$F,$B$3,Partidos!$D:$D,$A12)+SUMIFS(Partidos!$O:$O,Partidos!$C:$C,Partidos!$X$2,Partidos!$F:$F,$B$3,Partidos!$E:$E,$A12)+SUMIFS(Partidos!$O:$O,Partidos!$C:$C,Partidos!$X$2,Partidos!$G:$G,$B$3,Partidos!$D:$D,$A12)+SUMIFS(Partidos!$O:$O,Partidos!$C:$C,Partidos!$X$2,Partidos!$G:$G,$B$3,Partidos!$E:$E,$A12)))&amp;"-"&amp;(IF($A12="","",SUMIFS(Partidos!$O:$O,Partidos!$C:$C,Partidos!$X$2,Partidos!$D:$D,$B$3,Partidos!$F:$F,$A12)+SUMIFS(Partidos!$O:$O,Partidos!$C:$C,Partidos!$X$2,Partidos!$D:$D,$B$3,Partidos!$G:$G,$A12)+SUMIFS(Partidos!$O:$O,Partidos!$C:$C,Partidos!$X$2,Partidos!$E:$E,$B$3,Partidos!$F:$F,$A12)+SUMIFS(Partidos!$O:$O,Partidos!$C:$C,Partidos!$X$2,Partidos!$E:$E,$B$3,Partidos!$G:$G,$A12)+SUMIFS(Partidos!$N:$N,Partidos!$C:$C,Partidos!$X$2,Partidos!$F:$F,$B$3,Partidos!$D:$D,$A12)+SUMIFS(Partidos!$N:$N,Partidos!$C:$C,Partidos!$X$2,Partidos!$F:$F,$B$3,Partidos!$E:$E,$A12)+SUMIFS(Partidos!$N:$N,Partidos!$C:$C,Partidos!$X$2,Partidos!$G:$G,$B$3,Partidos!$D:$D,$A12)+SUMIFS(Partidos!$N:$N,Partidos!$C:$C,Partidos!$X$2,Partidos!$G:$G,$B$3,Partidos!$E:$E,$A12))))</f>
        <v>4-14</v>
      </c>
      <c r="G12" s="10">
        <f>IF($A12="","",(IF($A12="","",SUMIFS(Partidos!$Q:$Q,Partidos!$C:$C,Partidos!$X$2,Partidos!$D:$D,$B$3,Partidos!$F:$F,$A12)+SUMIFS(Partidos!$Q:$Q,Partidos!$C:$C,Partidos!$X$2,Partidos!$D:$D,$B$3,Partidos!$G:$G,$A12)+SUMIFS(Partidos!$Q:$Q,Partidos!$C:$C,Partidos!$X$2,Partidos!$E:$E,$B$3,Partidos!$F:$F,$A12)+SUMIFS(Partidos!$Q:$Q,Partidos!$C:$C,Partidos!$X$2,Partidos!$E:$E,$B$3,Partidos!$G:$G,$A12)+SUMIFS(Partidos!$R:$R,Partidos!$C:$C,Partidos!$X$2,Partidos!$F:$F,$B$3,Partidos!$D:$D,$A12)+SUMIFS(Partidos!$R:$R,Partidos!$C:$C,Partidos!$X$2,Partidos!$F:$F,$B$3,Partidos!$E:$E,$A12)+SUMIFS(Partidos!$R:$R,Partidos!$C:$C,Partidos!$X$2,Partidos!$G:$G,$B$3,Partidos!$D:$D,$A12)+SUMIFS(Partidos!$R:$R,Partidos!$C:$C,Partidos!$X$2,Partidos!$G:$G,$B$3,Partidos!$E:$E,$A12)))-(IF($A12="","",SUMIFS(Partidos!$R:$R,Partidos!$C:$C,Partidos!$X$2,Partidos!$D:$D,$B$3,Partidos!$F:$F,$A12)+SUMIFS(Partidos!$R:$R,Partidos!$C:$C,Partidos!$X$2,Partidos!$D:$D,$B$3,Partidos!$G:$G,$A12)+SUMIFS(Partidos!$R:$R,Partidos!$C:$C,Partidos!$X$2,Partidos!$E:$E,$B$3,Partidos!$F:$F,$A12)+SUMIFS(Partidos!$R:$R,Partidos!$C:$C,Partidos!$X$2,Partidos!$E:$E,$B$3,Partidos!$G:$G,$A12)+SUMIFS(Partidos!$Q:$Q,Partidos!$C:$C,Partidos!$X$2,Partidos!$F:$F,$B$3,Partidos!$D:$D,$A12)+SUMIFS(Partidos!$Q:$Q,Partidos!$C:$C,Partidos!$X$2,Partidos!$F:$F,$B$3,Partidos!$E:$E,$A12)+SUMIFS(Partidos!$Q:$Q,Partidos!$C:$C,Partidos!$X$2,Partidos!$G:$G,$B$3,Partidos!$D:$D,$A12)+SUMIFS(Partidos!$Q:$Q,Partidos!$C:$C,Partidos!$X$2,Partidos!$G:$G,$B$3,Partidos!$E:$E,$A12))))</f>
        <v>-42</v>
      </c>
      <c r="H12" s="2"/>
      <c r="J12">
        <f t="shared" si="0"/>
        <v>2</v>
      </c>
      <c r="K12">
        <f t="shared" si="1"/>
        <v>6</v>
      </c>
      <c r="M12" s="12" t="str">
        <f>IFERROR(INDEX($A$6:$A$65,IF($K$2="PJ",MATCH(7,$J$6:$J$65,0),MATCH(7,$K$6:$K$65,0))),"")</f>
        <v>Javier suarez</v>
      </c>
      <c r="N12" s="10">
        <f>IFERROR(INDEX($B$6:$B$65,IF($K$2="PJ",MATCH(7,$J$6:$J$65,0),MATCH(7,$K$6:$K$65,0))),"")</f>
        <v>10</v>
      </c>
      <c r="O12" s="10">
        <f>IFERROR(INDEX($C$6:$C$65,IF($K$2="PJ",MATCH(7,$J$6:$J$65,0),MATCH(7,$K$6:$K$65,0))),"")</f>
        <v>1</v>
      </c>
      <c r="P12" s="10">
        <f>IFERROR(INDEX($D$6:$D$65,IF($K$2="PJ",MATCH(7,$J$6:$J$65,0),MATCH(7,$K$6:$K$65,0))),"")</f>
        <v>9</v>
      </c>
      <c r="Q12" s="11">
        <f>IFERROR(INDEX($E$6:$E$65,IF($K$2="PJ",MATCH(7,$J$6:$J$65,0),MATCH(7,$K$6:$K$65,0))),"")</f>
        <v>0.1</v>
      </c>
    </row>
    <row r="13" spans="1:17" x14ac:dyDescent="0.3">
      <c r="A13" s="6" t="str">
        <f>IF(Jugadores!B9="","",IF(Jugadores!B9=$B$3,"",Jugadores!B9))</f>
        <v>Alberto Pulido</v>
      </c>
      <c r="B13" s="2">
        <f>IF($A13="","",COUNTIFS(Partidos!$C:$C,Partidos!$X$2,Partidos!$D:$D,$B$3,Partidos!$F:$F,$A13)+COUNTIFS(Partidos!$C:$C,Partidos!$X$2,Partidos!$D:$D,$B$3,Partidos!$G:$G,$A13)+COUNTIFS(Partidos!$C:$C,Partidos!$X$2,Partidos!$E:$E,$B$3,Partidos!$F:$F,$A13)+COUNTIFS(Partidos!$C:$C,Partidos!$X$2,Partidos!$E:$E,$B$3,Partidos!$G:$G,$A13)+COUNTIFS(Partidos!$C:$C,Partidos!$X$2,Partidos!$F:$F,$B$3,Partidos!$D:$D,$A13)+COUNTIFS(Partidos!$C:$C,Partidos!$X$2,Partidos!$F:$F,$B$3,Partidos!$E:$E,$A13)+COUNTIFS(Partidos!$C:$C,Partidos!$X$2,Partidos!$G:$G,$B$3,Partidos!$D:$D,$A13)+COUNTIFS(Partidos!$C:$C,Partidos!$X$2,Partidos!$G:$G,$B$3,Partidos!$E:$E,$A13))</f>
        <v>6</v>
      </c>
      <c r="C13" s="2">
        <f>IF($A13="","",COUNTIFS(Partidos!$C:$C,Partidos!$X$2,Partidos!$P:$P,"A",Partidos!$D:$D,$B$3,Partidos!$F:$F,$A13)+COUNTIFS(Partidos!$C:$C,Partidos!$X$2,Partidos!$P:$P,"A",Partidos!$D:$D,$B$3,Partidos!$G:$G,$A13)+COUNTIFS(Partidos!$C:$C,Partidos!$X$2,Partidos!$P:$P,"A",Partidos!$E:$E,$B$3,Partidos!$F:$F,$A13)+COUNTIFS(Partidos!$C:$C,Partidos!$X$2,Partidos!$P:$P,"A",Partidos!$E:$E,$B$3,Partidos!$G:$G,$A13)+COUNTIFS(Partidos!$C:$C,Partidos!$X$2,Partidos!$P:$P,"B",Partidos!$F:$F,$B$3,Partidos!$D:$D,$A13)+COUNTIFS(Partidos!$C:$C,Partidos!$X$2,Partidos!$P:$P,"B",Partidos!$F:$F,$B$3,Partidos!$E:$E,$A13)+COUNTIFS(Partidos!$C:$C,Partidos!$X$2,Partidos!$P:$P,"B",Partidos!$G:$G,$B$3,Partidos!$D:$D,$A13)+COUNTIFS(Partidos!$C:$C,Partidos!$X$2,Partidos!$P:$P,"B",Partidos!$G:$G,$B$3,Partidos!$E:$E,$A13))</f>
        <v>1</v>
      </c>
      <c r="D13" s="2">
        <f>IF($A13="","",B13-C13)</f>
        <v>5</v>
      </c>
      <c r="E13" s="11">
        <f>IF($A13="","",IF(B13=0,"",C13/B13))</f>
        <v>0.16666666666666666</v>
      </c>
      <c r="F13" s="13" t="str">
        <f>IF($A13="","",(IF($A13="","",SUMIFS(Partidos!$N:$N,Partidos!$C:$C,Partidos!$X$2,Partidos!$D:$D,$B$3,Partidos!$F:$F,$A13)+SUMIFS(Partidos!$N:$N,Partidos!$C:$C,Partidos!$X$2,Partidos!$D:$D,$B$3,Partidos!$G:$G,$A13)+SUMIFS(Partidos!$N:$N,Partidos!$C:$C,Partidos!$X$2,Partidos!$E:$E,$B$3,Partidos!$F:$F,$A13)+SUMIFS(Partidos!$N:$N,Partidos!$C:$C,Partidos!$X$2,Partidos!$E:$E,$B$3,Partidos!$G:$G,$A13)+SUMIFS(Partidos!$O:$O,Partidos!$C:$C,Partidos!$X$2,Partidos!$F:$F,$B$3,Partidos!$D:$D,$A13)+SUMIFS(Partidos!$O:$O,Partidos!$C:$C,Partidos!$X$2,Partidos!$F:$F,$B$3,Partidos!$E:$E,$A13)+SUMIFS(Partidos!$O:$O,Partidos!$C:$C,Partidos!$X$2,Partidos!$G:$G,$B$3,Partidos!$D:$D,$A13)+SUMIFS(Partidos!$O:$O,Partidos!$C:$C,Partidos!$X$2,Partidos!$G:$G,$B$3,Partidos!$E:$E,$A13)))&amp;"-"&amp;(IF($A13="","",SUMIFS(Partidos!$O:$O,Partidos!$C:$C,Partidos!$X$2,Partidos!$D:$D,$B$3,Partidos!$F:$F,$A13)+SUMIFS(Partidos!$O:$O,Partidos!$C:$C,Partidos!$X$2,Partidos!$D:$D,$B$3,Partidos!$G:$G,$A13)+SUMIFS(Partidos!$O:$O,Partidos!$C:$C,Partidos!$X$2,Partidos!$E:$E,$B$3,Partidos!$F:$F,$A13)+SUMIFS(Partidos!$O:$O,Partidos!$C:$C,Partidos!$X$2,Partidos!$E:$E,$B$3,Partidos!$G:$G,$A13)+SUMIFS(Partidos!$N:$N,Partidos!$C:$C,Partidos!$X$2,Partidos!$F:$F,$B$3,Partidos!$D:$D,$A13)+SUMIFS(Partidos!$N:$N,Partidos!$C:$C,Partidos!$X$2,Partidos!$F:$F,$B$3,Partidos!$E:$E,$A13)+SUMIFS(Partidos!$N:$N,Partidos!$C:$C,Partidos!$X$2,Partidos!$G:$G,$B$3,Partidos!$D:$D,$A13)+SUMIFS(Partidos!$N:$N,Partidos!$C:$C,Partidos!$X$2,Partidos!$G:$G,$B$3,Partidos!$E:$E,$A13))))</f>
        <v>4-11</v>
      </c>
      <c r="G13" s="10">
        <f>IF($A13="","",(IF($A13="","",SUMIFS(Partidos!$Q:$Q,Partidos!$C:$C,Partidos!$X$2,Partidos!$D:$D,$B$3,Partidos!$F:$F,$A13)+SUMIFS(Partidos!$Q:$Q,Partidos!$C:$C,Partidos!$X$2,Partidos!$D:$D,$B$3,Partidos!$G:$G,$A13)+SUMIFS(Partidos!$Q:$Q,Partidos!$C:$C,Partidos!$X$2,Partidos!$E:$E,$B$3,Partidos!$F:$F,$A13)+SUMIFS(Partidos!$Q:$Q,Partidos!$C:$C,Partidos!$X$2,Partidos!$E:$E,$B$3,Partidos!$G:$G,$A13)+SUMIFS(Partidos!$R:$R,Partidos!$C:$C,Partidos!$X$2,Partidos!$F:$F,$B$3,Partidos!$D:$D,$A13)+SUMIFS(Partidos!$R:$R,Partidos!$C:$C,Partidos!$X$2,Partidos!$F:$F,$B$3,Partidos!$E:$E,$A13)+SUMIFS(Partidos!$R:$R,Partidos!$C:$C,Partidos!$X$2,Partidos!$G:$G,$B$3,Partidos!$D:$D,$A13)+SUMIFS(Partidos!$R:$R,Partidos!$C:$C,Partidos!$X$2,Partidos!$G:$G,$B$3,Partidos!$E:$E,$A13)))-(IF($A13="","",SUMIFS(Partidos!$R:$R,Partidos!$C:$C,Partidos!$X$2,Partidos!$D:$D,$B$3,Partidos!$F:$F,$A13)+SUMIFS(Partidos!$R:$R,Partidos!$C:$C,Partidos!$X$2,Partidos!$D:$D,$B$3,Partidos!$G:$G,$A13)+SUMIFS(Partidos!$R:$R,Partidos!$C:$C,Partidos!$X$2,Partidos!$E:$E,$B$3,Partidos!$F:$F,$A13)+SUMIFS(Partidos!$R:$R,Partidos!$C:$C,Partidos!$X$2,Partidos!$E:$E,$B$3,Partidos!$G:$G,$A13)+SUMIFS(Partidos!$Q:$Q,Partidos!$C:$C,Partidos!$X$2,Partidos!$F:$F,$B$3,Partidos!$D:$D,$A13)+SUMIFS(Partidos!$Q:$Q,Partidos!$C:$C,Partidos!$X$2,Partidos!$F:$F,$B$3,Partidos!$E:$E,$A13)+SUMIFS(Partidos!$Q:$Q,Partidos!$C:$C,Partidos!$X$2,Partidos!$G:$G,$B$3,Partidos!$D:$D,$A13)+SUMIFS(Partidos!$Q:$Q,Partidos!$C:$C,Partidos!$X$2,Partidos!$G:$G,$B$3,Partidos!$E:$E,$A13))))</f>
        <v>-29</v>
      </c>
      <c r="H13" s="2"/>
      <c r="J13">
        <f t="shared" si="0"/>
        <v>6</v>
      </c>
      <c r="K13">
        <f t="shared" si="1"/>
        <v>4</v>
      </c>
      <c r="M13" s="12" t="str">
        <f>IFERROR(INDEX($A$6:$A$65,IF($K$2="PJ",MATCH(8,$J$6:$J$65,0),MATCH(8,$K$6:$K$65,0))),"")</f>
        <v>Israel Suárez</v>
      </c>
      <c r="N13" s="10">
        <f>IFERROR(INDEX($B$6:$B$65,IF($K$2="PJ",MATCH(8,$J$6:$J$65,0),MATCH(8,$K$6:$K$65,0))),"")</f>
        <v>6</v>
      </c>
      <c r="O13" s="10">
        <f>IFERROR(INDEX($C$6:$C$65,IF($K$2="PJ",MATCH(8,$J$6:$J$65,0),MATCH(8,$K$6:$K$65,0))),"")</f>
        <v>0</v>
      </c>
      <c r="P13" s="10">
        <f>IFERROR(INDEX($D$6:$D$65,IF($K$2="PJ",MATCH(8,$J$6:$J$65,0),MATCH(8,$K$6:$K$65,0))),"")</f>
        <v>6</v>
      </c>
      <c r="Q13" s="11">
        <f>IFERROR(INDEX($E$6:$E$65,IF($K$2="PJ",MATCH(8,$J$6:$J$65,0),MATCH(8,$K$6:$K$65,0))),"")</f>
        <v>0</v>
      </c>
    </row>
    <row r="14" spans="1:17" x14ac:dyDescent="0.3">
      <c r="A14" s="6" t="str">
        <f>IF(Jugadores!B16="","",IF(Jugadores!B16=$B$3,"",Jugadores!B16))</f>
        <v>Alberto Nunes</v>
      </c>
      <c r="B14" s="2">
        <f>IF($A14="","",COUNTIFS(Partidos!$C:$C,Partidos!$X$2,Partidos!$D:$D,$B$3,Partidos!$F:$F,$A14)+COUNTIFS(Partidos!$C:$C,Partidos!$X$2,Partidos!$D:$D,$B$3,Partidos!$G:$G,$A14)+COUNTIFS(Partidos!$C:$C,Partidos!$X$2,Partidos!$E:$E,$B$3,Partidos!$F:$F,$A14)+COUNTIFS(Partidos!$C:$C,Partidos!$X$2,Partidos!$E:$E,$B$3,Partidos!$G:$G,$A14)+COUNTIFS(Partidos!$C:$C,Partidos!$X$2,Partidos!$F:$F,$B$3,Partidos!$D:$D,$A14)+COUNTIFS(Partidos!$C:$C,Partidos!$X$2,Partidos!$F:$F,$B$3,Partidos!$E:$E,$A14)+COUNTIFS(Partidos!$C:$C,Partidos!$X$2,Partidos!$G:$G,$B$3,Partidos!$D:$D,$A14)+COUNTIFS(Partidos!$C:$C,Partidos!$X$2,Partidos!$G:$G,$B$3,Partidos!$E:$E,$A14))</f>
        <v>6</v>
      </c>
      <c r="C14" s="2">
        <f>IF($A14="","",COUNTIFS(Partidos!$C:$C,Partidos!$X$2,Partidos!$P:$P,"A",Partidos!$D:$D,$B$3,Partidos!$F:$F,$A14)+COUNTIFS(Partidos!$C:$C,Partidos!$X$2,Partidos!$P:$P,"A",Partidos!$D:$D,$B$3,Partidos!$G:$G,$A14)+COUNTIFS(Partidos!$C:$C,Partidos!$X$2,Partidos!$P:$P,"A",Partidos!$E:$E,$B$3,Partidos!$F:$F,$A14)+COUNTIFS(Partidos!$C:$C,Partidos!$X$2,Partidos!$P:$P,"A",Partidos!$E:$E,$B$3,Partidos!$G:$G,$A14)+COUNTIFS(Partidos!$C:$C,Partidos!$X$2,Partidos!$P:$P,"B",Partidos!$F:$F,$B$3,Partidos!$D:$D,$A14)+COUNTIFS(Partidos!$C:$C,Partidos!$X$2,Partidos!$P:$P,"B",Partidos!$F:$F,$B$3,Partidos!$E:$E,$A14)+COUNTIFS(Partidos!$C:$C,Partidos!$X$2,Partidos!$P:$P,"B",Partidos!$G:$G,$B$3,Partidos!$D:$D,$A14)+COUNTIFS(Partidos!$C:$C,Partidos!$X$2,Partidos!$P:$P,"B",Partidos!$G:$G,$B$3,Partidos!$E:$E,$A14))</f>
        <v>1</v>
      </c>
      <c r="D14" s="2">
        <f>IF($A14="","",B14-C14)</f>
        <v>5</v>
      </c>
      <c r="E14" s="11">
        <f>IF($A14="","",IF(B14=0,"",C14/B14))</f>
        <v>0.16666666666666666</v>
      </c>
      <c r="F14" s="13" t="str">
        <f>IF($A14="","",(IF($A14="","",SUMIFS(Partidos!$N:$N,Partidos!$C:$C,Partidos!$X$2,Partidos!$D:$D,$B$3,Partidos!$F:$F,$A14)+SUMIFS(Partidos!$N:$N,Partidos!$C:$C,Partidos!$X$2,Partidos!$D:$D,$B$3,Partidos!$G:$G,$A14)+SUMIFS(Partidos!$N:$N,Partidos!$C:$C,Partidos!$X$2,Partidos!$E:$E,$B$3,Partidos!$F:$F,$A14)+SUMIFS(Partidos!$N:$N,Partidos!$C:$C,Partidos!$X$2,Partidos!$E:$E,$B$3,Partidos!$G:$G,$A14)+SUMIFS(Partidos!$O:$O,Partidos!$C:$C,Partidos!$X$2,Partidos!$F:$F,$B$3,Partidos!$D:$D,$A14)+SUMIFS(Partidos!$O:$O,Partidos!$C:$C,Partidos!$X$2,Partidos!$F:$F,$B$3,Partidos!$E:$E,$A14)+SUMIFS(Partidos!$O:$O,Partidos!$C:$C,Partidos!$X$2,Partidos!$G:$G,$B$3,Partidos!$D:$D,$A14)+SUMIFS(Partidos!$O:$O,Partidos!$C:$C,Partidos!$X$2,Partidos!$G:$G,$B$3,Partidos!$E:$E,$A14)))&amp;"-"&amp;(IF($A14="","",SUMIFS(Partidos!$O:$O,Partidos!$C:$C,Partidos!$X$2,Partidos!$D:$D,$B$3,Partidos!$F:$F,$A14)+SUMIFS(Partidos!$O:$O,Partidos!$C:$C,Partidos!$X$2,Partidos!$D:$D,$B$3,Partidos!$G:$G,$A14)+SUMIFS(Partidos!$O:$O,Partidos!$C:$C,Partidos!$X$2,Partidos!$E:$E,$B$3,Partidos!$F:$F,$A14)+SUMIFS(Partidos!$O:$O,Partidos!$C:$C,Partidos!$X$2,Partidos!$E:$E,$B$3,Partidos!$G:$G,$A14)+SUMIFS(Partidos!$N:$N,Partidos!$C:$C,Partidos!$X$2,Partidos!$F:$F,$B$3,Partidos!$D:$D,$A14)+SUMIFS(Partidos!$N:$N,Partidos!$C:$C,Partidos!$X$2,Partidos!$F:$F,$B$3,Partidos!$E:$E,$A14)+SUMIFS(Partidos!$N:$N,Partidos!$C:$C,Partidos!$X$2,Partidos!$G:$G,$B$3,Partidos!$D:$D,$A14)+SUMIFS(Partidos!$N:$N,Partidos!$C:$C,Partidos!$X$2,Partidos!$G:$G,$B$3,Partidos!$E:$E,$A14))))</f>
        <v>3-10</v>
      </c>
      <c r="G14" s="10">
        <f>IF($A14="","",(IF($A14="","",SUMIFS(Partidos!$Q:$Q,Partidos!$C:$C,Partidos!$X$2,Partidos!$D:$D,$B$3,Partidos!$F:$F,$A14)+SUMIFS(Partidos!$Q:$Q,Partidos!$C:$C,Partidos!$X$2,Partidos!$D:$D,$B$3,Partidos!$G:$G,$A14)+SUMIFS(Partidos!$Q:$Q,Partidos!$C:$C,Partidos!$X$2,Partidos!$E:$E,$B$3,Partidos!$F:$F,$A14)+SUMIFS(Partidos!$Q:$Q,Partidos!$C:$C,Partidos!$X$2,Partidos!$E:$E,$B$3,Partidos!$G:$G,$A14)+SUMIFS(Partidos!$R:$R,Partidos!$C:$C,Partidos!$X$2,Partidos!$F:$F,$B$3,Partidos!$D:$D,$A14)+SUMIFS(Partidos!$R:$R,Partidos!$C:$C,Partidos!$X$2,Partidos!$F:$F,$B$3,Partidos!$E:$E,$A14)+SUMIFS(Partidos!$R:$R,Partidos!$C:$C,Partidos!$X$2,Partidos!$G:$G,$B$3,Partidos!$D:$D,$A14)+SUMIFS(Partidos!$R:$R,Partidos!$C:$C,Partidos!$X$2,Partidos!$G:$G,$B$3,Partidos!$E:$E,$A14)))-(IF($A14="","",SUMIFS(Partidos!$R:$R,Partidos!$C:$C,Partidos!$X$2,Partidos!$D:$D,$B$3,Partidos!$F:$F,$A14)+SUMIFS(Partidos!$R:$R,Partidos!$C:$C,Partidos!$X$2,Partidos!$D:$D,$B$3,Partidos!$G:$G,$A14)+SUMIFS(Partidos!$R:$R,Partidos!$C:$C,Partidos!$X$2,Partidos!$E:$E,$B$3,Partidos!$F:$F,$A14)+SUMIFS(Partidos!$R:$R,Partidos!$C:$C,Partidos!$X$2,Partidos!$E:$E,$B$3,Partidos!$G:$G,$A14)+SUMIFS(Partidos!$Q:$Q,Partidos!$C:$C,Partidos!$X$2,Partidos!$F:$F,$B$3,Partidos!$D:$D,$A14)+SUMIFS(Partidos!$Q:$Q,Partidos!$C:$C,Partidos!$X$2,Partidos!$F:$F,$B$3,Partidos!$E:$E,$A14)+SUMIFS(Partidos!$Q:$Q,Partidos!$C:$C,Partidos!$X$2,Partidos!$G:$G,$B$3,Partidos!$D:$D,$A14)+SUMIFS(Partidos!$Q:$Q,Partidos!$C:$C,Partidos!$X$2,Partidos!$G:$G,$B$3,Partidos!$E:$E,$A14))))</f>
        <v>-30</v>
      </c>
      <c r="H14" s="2"/>
      <c r="J14">
        <f t="shared" si="0"/>
        <v>7</v>
      </c>
      <c r="K14">
        <f t="shared" si="1"/>
        <v>5</v>
      </c>
      <c r="M14" s="12" t="str">
        <f>IFERROR(INDEX($A$6:$A$65,IF($K$2="PJ",MATCH(9,$J$6:$J$65,0),MATCH(9,$K$6:$K$65,0))),"")</f>
        <v>Guillermo Medina</v>
      </c>
      <c r="N14" s="10">
        <f>IFERROR(INDEX($B$6:$B$65,IF($K$2="PJ",MATCH(9,$J$6:$J$65,0),MATCH(9,$K$6:$K$65,0))),"")</f>
        <v>4</v>
      </c>
      <c r="O14" s="10">
        <f>IFERROR(INDEX($C$6:$C$65,IF($K$2="PJ",MATCH(9,$J$6:$J$65,0),MATCH(9,$K$6:$K$65,0))),"")</f>
        <v>0</v>
      </c>
      <c r="P14" s="10">
        <f>IFERROR(INDEX($D$6:$D$65,IF($K$2="PJ",MATCH(9,$J$6:$J$65,0),MATCH(9,$K$6:$K$65,0))),"")</f>
        <v>4</v>
      </c>
      <c r="Q14" s="11">
        <f>IFERROR(INDEX($E$6:$E$65,IF($K$2="PJ",MATCH(9,$J$6:$J$65,0),MATCH(9,$K$6:$K$65,0))),"")</f>
        <v>0</v>
      </c>
    </row>
    <row r="15" spans="1:17" x14ac:dyDescent="0.3">
      <c r="A15" s="6" t="str">
        <f>IF(Jugadores!B11="","",IF(Jugadores!B11=$B$3,"",Jugadores!B11))</f>
        <v>Javier Bonilla</v>
      </c>
      <c r="B15" s="2">
        <f>IF($A15="","",COUNTIFS(Partidos!$C:$C,Partidos!$X$2,Partidos!$D:$D,$B$3,Partidos!$F:$F,$A15)+COUNTIFS(Partidos!$C:$C,Partidos!$X$2,Partidos!$D:$D,$B$3,Partidos!$G:$G,$A15)+COUNTIFS(Partidos!$C:$C,Partidos!$X$2,Partidos!$E:$E,$B$3,Partidos!$F:$F,$A15)+COUNTIFS(Partidos!$C:$C,Partidos!$X$2,Partidos!$E:$E,$B$3,Partidos!$G:$G,$A15)+COUNTIFS(Partidos!$C:$C,Partidos!$X$2,Partidos!$F:$F,$B$3,Partidos!$D:$D,$A15)+COUNTIFS(Partidos!$C:$C,Partidos!$X$2,Partidos!$F:$F,$B$3,Partidos!$E:$E,$A15)+COUNTIFS(Partidos!$C:$C,Partidos!$X$2,Partidos!$G:$G,$B$3,Partidos!$D:$D,$A15)+COUNTIFS(Partidos!$C:$C,Partidos!$X$2,Partidos!$G:$G,$B$3,Partidos!$E:$E,$A15))</f>
        <v>7</v>
      </c>
      <c r="C15" s="2">
        <f>IF($A15="","",COUNTIFS(Partidos!$C:$C,Partidos!$X$2,Partidos!$P:$P,"A",Partidos!$D:$D,$B$3,Partidos!$F:$F,$A15)+COUNTIFS(Partidos!$C:$C,Partidos!$X$2,Partidos!$P:$P,"A",Partidos!$D:$D,$B$3,Partidos!$G:$G,$A15)+COUNTIFS(Partidos!$C:$C,Partidos!$X$2,Partidos!$P:$P,"A",Partidos!$E:$E,$B$3,Partidos!$F:$F,$A15)+COUNTIFS(Partidos!$C:$C,Partidos!$X$2,Partidos!$P:$P,"A",Partidos!$E:$E,$B$3,Partidos!$G:$G,$A15)+COUNTIFS(Partidos!$C:$C,Partidos!$X$2,Partidos!$P:$P,"B",Partidos!$F:$F,$B$3,Partidos!$D:$D,$A15)+COUNTIFS(Partidos!$C:$C,Partidos!$X$2,Partidos!$P:$P,"B",Partidos!$F:$F,$B$3,Partidos!$E:$E,$A15)+COUNTIFS(Partidos!$C:$C,Partidos!$X$2,Partidos!$P:$P,"B",Partidos!$G:$G,$B$3,Partidos!$D:$D,$A15)+COUNTIFS(Partidos!$C:$C,Partidos!$X$2,Partidos!$P:$P,"B",Partidos!$G:$G,$B$3,Partidos!$E:$E,$A15))</f>
        <v>2</v>
      </c>
      <c r="D15" s="2">
        <f>IF($A15="","",B15-C15)</f>
        <v>5</v>
      </c>
      <c r="E15" s="11">
        <f>IF($A15="","",IF(B15=0,"",C15/B15))</f>
        <v>0.2857142857142857</v>
      </c>
      <c r="F15" s="13" t="str">
        <f>IF($A15="","",(IF($A15="","",SUMIFS(Partidos!$N:$N,Partidos!$C:$C,Partidos!$X$2,Partidos!$D:$D,$B$3,Partidos!$F:$F,$A15)+SUMIFS(Partidos!$N:$N,Partidos!$C:$C,Partidos!$X$2,Partidos!$D:$D,$B$3,Partidos!$G:$G,$A15)+SUMIFS(Partidos!$N:$N,Partidos!$C:$C,Partidos!$X$2,Partidos!$E:$E,$B$3,Partidos!$F:$F,$A15)+SUMIFS(Partidos!$N:$N,Partidos!$C:$C,Partidos!$X$2,Partidos!$E:$E,$B$3,Partidos!$G:$G,$A15)+SUMIFS(Partidos!$O:$O,Partidos!$C:$C,Partidos!$X$2,Partidos!$F:$F,$B$3,Partidos!$D:$D,$A15)+SUMIFS(Partidos!$O:$O,Partidos!$C:$C,Partidos!$X$2,Partidos!$F:$F,$B$3,Partidos!$E:$E,$A15)+SUMIFS(Partidos!$O:$O,Partidos!$C:$C,Partidos!$X$2,Partidos!$G:$G,$B$3,Partidos!$D:$D,$A15)+SUMIFS(Partidos!$O:$O,Partidos!$C:$C,Partidos!$X$2,Partidos!$G:$G,$B$3,Partidos!$E:$E,$A15)))&amp;"-"&amp;(IF($A15="","",SUMIFS(Partidos!$O:$O,Partidos!$C:$C,Partidos!$X$2,Partidos!$D:$D,$B$3,Partidos!$F:$F,$A15)+SUMIFS(Partidos!$O:$O,Partidos!$C:$C,Partidos!$X$2,Partidos!$D:$D,$B$3,Partidos!$G:$G,$A15)+SUMIFS(Partidos!$O:$O,Partidos!$C:$C,Partidos!$X$2,Partidos!$E:$E,$B$3,Partidos!$F:$F,$A15)+SUMIFS(Partidos!$O:$O,Partidos!$C:$C,Partidos!$X$2,Partidos!$E:$E,$B$3,Partidos!$G:$G,$A15)+SUMIFS(Partidos!$N:$N,Partidos!$C:$C,Partidos!$X$2,Partidos!$F:$F,$B$3,Partidos!$D:$D,$A15)+SUMIFS(Partidos!$N:$N,Partidos!$C:$C,Partidos!$X$2,Partidos!$F:$F,$B$3,Partidos!$E:$E,$A15)+SUMIFS(Partidos!$N:$N,Partidos!$C:$C,Partidos!$X$2,Partidos!$G:$G,$B$3,Partidos!$D:$D,$A15)+SUMIFS(Partidos!$N:$N,Partidos!$C:$C,Partidos!$X$2,Partidos!$G:$G,$B$3,Partidos!$E:$E,$A15))))</f>
        <v>6-11</v>
      </c>
      <c r="G15" s="10">
        <f>IF($A15="","",(IF($A15="","",SUMIFS(Partidos!$Q:$Q,Partidos!$C:$C,Partidos!$X$2,Partidos!$D:$D,$B$3,Partidos!$F:$F,$A15)+SUMIFS(Partidos!$Q:$Q,Partidos!$C:$C,Partidos!$X$2,Partidos!$D:$D,$B$3,Partidos!$G:$G,$A15)+SUMIFS(Partidos!$Q:$Q,Partidos!$C:$C,Partidos!$X$2,Partidos!$E:$E,$B$3,Partidos!$F:$F,$A15)+SUMIFS(Partidos!$Q:$Q,Partidos!$C:$C,Partidos!$X$2,Partidos!$E:$E,$B$3,Partidos!$G:$G,$A15)+SUMIFS(Partidos!$R:$R,Partidos!$C:$C,Partidos!$X$2,Partidos!$F:$F,$B$3,Partidos!$D:$D,$A15)+SUMIFS(Partidos!$R:$R,Partidos!$C:$C,Partidos!$X$2,Partidos!$F:$F,$B$3,Partidos!$E:$E,$A15)+SUMIFS(Partidos!$R:$R,Partidos!$C:$C,Partidos!$X$2,Partidos!$G:$G,$B$3,Partidos!$D:$D,$A15)+SUMIFS(Partidos!$R:$R,Partidos!$C:$C,Partidos!$X$2,Partidos!$G:$G,$B$3,Partidos!$E:$E,$A15)))-(IF($A15="","",SUMIFS(Partidos!$R:$R,Partidos!$C:$C,Partidos!$X$2,Partidos!$D:$D,$B$3,Partidos!$F:$F,$A15)+SUMIFS(Partidos!$R:$R,Partidos!$C:$C,Partidos!$X$2,Partidos!$D:$D,$B$3,Partidos!$G:$G,$A15)+SUMIFS(Partidos!$R:$R,Partidos!$C:$C,Partidos!$X$2,Partidos!$E:$E,$B$3,Partidos!$F:$F,$A15)+SUMIFS(Partidos!$R:$R,Partidos!$C:$C,Partidos!$X$2,Partidos!$E:$E,$B$3,Partidos!$G:$G,$A15)+SUMIFS(Partidos!$Q:$Q,Partidos!$C:$C,Partidos!$X$2,Partidos!$F:$F,$B$3,Partidos!$D:$D,$A15)+SUMIFS(Partidos!$Q:$Q,Partidos!$C:$C,Partidos!$X$2,Partidos!$F:$F,$B$3,Partidos!$E:$E,$A15)+SUMIFS(Partidos!$Q:$Q,Partidos!$C:$C,Partidos!$X$2,Partidos!$G:$G,$B$3,Partidos!$D:$D,$A15)+SUMIFS(Partidos!$Q:$Q,Partidos!$C:$C,Partidos!$X$2,Partidos!$G:$G,$B$3,Partidos!$E:$E,$A15))))</f>
        <v>-10</v>
      </c>
      <c r="H15" s="2"/>
      <c r="J15">
        <f t="shared" si="0"/>
        <v>3</v>
      </c>
      <c r="K15">
        <f t="shared" si="1"/>
        <v>3</v>
      </c>
      <c r="M15" s="12" t="str">
        <f>IFERROR(INDEX($A$6:$A$65,IF($K$2="PJ",MATCH(10,$J$6:$J$65,0),MATCH(10,$K$6:$K$65,0))),"")</f>
        <v>César Morales</v>
      </c>
      <c r="N15" s="10">
        <f>IFERROR(INDEX($B$6:$B$65,IF($K$2="PJ",MATCH(10,$J$6:$J$65,0),MATCH(10,$K$6:$K$65,0))),"")</f>
        <v>3</v>
      </c>
      <c r="O15" s="10">
        <f>IFERROR(INDEX($C$6:$C$65,IF($K$2="PJ",MATCH(10,$J$6:$J$65,0),MATCH(10,$K$6:$K$65,0))),"")</f>
        <v>0</v>
      </c>
      <c r="P15" s="10">
        <f>IFERROR(INDEX($D$6:$D$65,IF($K$2="PJ",MATCH(10,$J$6:$J$65,0),MATCH(10,$K$6:$K$65,0))),"")</f>
        <v>3</v>
      </c>
      <c r="Q15" s="11">
        <f>IFERROR(INDEX($E$6:$E$65,IF($K$2="PJ",MATCH(10,$J$6:$J$65,0),MATCH(10,$K$6:$K$65,0))),"")</f>
        <v>0</v>
      </c>
    </row>
    <row r="16" spans="1:17" x14ac:dyDescent="0.3">
      <c r="A16" s="6" t="str">
        <f>IF(Jugadores!B15="","",IF(Jugadores!B15=$B$3,"",Jugadores!B15))</f>
        <v>Nacho Navidad</v>
      </c>
      <c r="B16" s="2">
        <f>IF($A16="","",COUNTIFS(Partidos!$C:$C,Partidos!$X$2,Partidos!$D:$D,$B$3,Partidos!$F:$F,$A16)+COUNTIFS(Partidos!$C:$C,Partidos!$X$2,Partidos!$D:$D,$B$3,Partidos!$G:$G,$A16)+COUNTIFS(Partidos!$C:$C,Partidos!$X$2,Partidos!$E:$E,$B$3,Partidos!$F:$F,$A16)+COUNTIFS(Partidos!$C:$C,Partidos!$X$2,Partidos!$E:$E,$B$3,Partidos!$G:$G,$A16)+COUNTIFS(Partidos!$C:$C,Partidos!$X$2,Partidos!$F:$F,$B$3,Partidos!$D:$D,$A16)+COUNTIFS(Partidos!$C:$C,Partidos!$X$2,Partidos!$F:$F,$B$3,Partidos!$E:$E,$A16)+COUNTIFS(Partidos!$C:$C,Partidos!$X$2,Partidos!$G:$G,$B$3,Partidos!$D:$D,$A16)+COUNTIFS(Partidos!$C:$C,Partidos!$X$2,Partidos!$G:$G,$B$3,Partidos!$E:$E,$A16))</f>
        <v>5</v>
      </c>
      <c r="C16" s="2">
        <f>IF($A16="","",COUNTIFS(Partidos!$C:$C,Partidos!$X$2,Partidos!$P:$P,"A",Partidos!$D:$D,$B$3,Partidos!$F:$F,$A16)+COUNTIFS(Partidos!$C:$C,Partidos!$X$2,Partidos!$P:$P,"A",Partidos!$D:$D,$B$3,Partidos!$G:$G,$A16)+COUNTIFS(Partidos!$C:$C,Partidos!$X$2,Partidos!$P:$P,"A",Partidos!$E:$E,$B$3,Partidos!$F:$F,$A16)+COUNTIFS(Partidos!$C:$C,Partidos!$X$2,Partidos!$P:$P,"A",Partidos!$E:$E,$B$3,Partidos!$G:$G,$A16)+COUNTIFS(Partidos!$C:$C,Partidos!$X$2,Partidos!$P:$P,"B",Partidos!$F:$F,$B$3,Partidos!$D:$D,$A16)+COUNTIFS(Partidos!$C:$C,Partidos!$X$2,Partidos!$P:$P,"B",Partidos!$F:$F,$B$3,Partidos!$E:$E,$A16)+COUNTIFS(Partidos!$C:$C,Partidos!$X$2,Partidos!$P:$P,"B",Partidos!$G:$G,$B$3,Partidos!$D:$D,$A16)+COUNTIFS(Partidos!$C:$C,Partidos!$X$2,Partidos!$P:$P,"B",Partidos!$G:$G,$B$3,Partidos!$E:$E,$A16))</f>
        <v>2</v>
      </c>
      <c r="D16" s="2">
        <f>IF($A16="","",B16-C16)</f>
        <v>3</v>
      </c>
      <c r="E16" s="11">
        <f>IF($A16="","",IF(B16=0,"",C16/B16))</f>
        <v>0.4</v>
      </c>
      <c r="F16" s="13" t="str">
        <f>IF($A16="","",(IF($A16="","",SUMIFS(Partidos!$N:$N,Partidos!$C:$C,Partidos!$X$2,Partidos!$D:$D,$B$3,Partidos!$F:$F,$A16)+SUMIFS(Partidos!$N:$N,Partidos!$C:$C,Partidos!$X$2,Partidos!$D:$D,$B$3,Partidos!$G:$G,$A16)+SUMIFS(Partidos!$N:$N,Partidos!$C:$C,Partidos!$X$2,Partidos!$E:$E,$B$3,Partidos!$F:$F,$A16)+SUMIFS(Partidos!$N:$N,Partidos!$C:$C,Partidos!$X$2,Partidos!$E:$E,$B$3,Partidos!$G:$G,$A16)+SUMIFS(Partidos!$O:$O,Partidos!$C:$C,Partidos!$X$2,Partidos!$F:$F,$B$3,Partidos!$D:$D,$A16)+SUMIFS(Partidos!$O:$O,Partidos!$C:$C,Partidos!$X$2,Partidos!$F:$F,$B$3,Partidos!$E:$E,$A16)+SUMIFS(Partidos!$O:$O,Partidos!$C:$C,Partidos!$X$2,Partidos!$G:$G,$B$3,Partidos!$D:$D,$A16)+SUMIFS(Partidos!$O:$O,Partidos!$C:$C,Partidos!$X$2,Partidos!$G:$G,$B$3,Partidos!$E:$E,$A16)))&amp;"-"&amp;(IF($A16="","",SUMIFS(Partidos!$O:$O,Partidos!$C:$C,Partidos!$X$2,Partidos!$D:$D,$B$3,Partidos!$F:$F,$A16)+SUMIFS(Partidos!$O:$O,Partidos!$C:$C,Partidos!$X$2,Partidos!$D:$D,$B$3,Partidos!$G:$G,$A16)+SUMIFS(Partidos!$O:$O,Partidos!$C:$C,Partidos!$X$2,Partidos!$E:$E,$B$3,Partidos!$F:$F,$A16)+SUMIFS(Partidos!$O:$O,Partidos!$C:$C,Partidos!$X$2,Partidos!$E:$E,$B$3,Partidos!$G:$G,$A16)+SUMIFS(Partidos!$N:$N,Partidos!$C:$C,Partidos!$X$2,Partidos!$F:$F,$B$3,Partidos!$D:$D,$A16)+SUMIFS(Partidos!$N:$N,Partidos!$C:$C,Partidos!$X$2,Partidos!$F:$F,$B$3,Partidos!$E:$E,$A16)+SUMIFS(Partidos!$N:$N,Partidos!$C:$C,Partidos!$X$2,Partidos!$G:$G,$B$3,Partidos!$D:$D,$A16)+SUMIFS(Partidos!$N:$N,Partidos!$C:$C,Partidos!$X$2,Partidos!$G:$G,$B$3,Partidos!$E:$E,$A16))))</f>
        <v>6-6</v>
      </c>
      <c r="G16" s="10">
        <f>IF($A16="","",(IF($A16="","",SUMIFS(Partidos!$Q:$Q,Partidos!$C:$C,Partidos!$X$2,Partidos!$D:$D,$B$3,Partidos!$F:$F,$A16)+SUMIFS(Partidos!$Q:$Q,Partidos!$C:$C,Partidos!$X$2,Partidos!$D:$D,$B$3,Partidos!$G:$G,$A16)+SUMIFS(Partidos!$Q:$Q,Partidos!$C:$C,Partidos!$X$2,Partidos!$E:$E,$B$3,Partidos!$F:$F,$A16)+SUMIFS(Partidos!$Q:$Q,Partidos!$C:$C,Partidos!$X$2,Partidos!$E:$E,$B$3,Partidos!$G:$G,$A16)+SUMIFS(Partidos!$R:$R,Partidos!$C:$C,Partidos!$X$2,Partidos!$F:$F,$B$3,Partidos!$D:$D,$A16)+SUMIFS(Partidos!$R:$R,Partidos!$C:$C,Partidos!$X$2,Partidos!$F:$F,$B$3,Partidos!$E:$E,$A16)+SUMIFS(Partidos!$R:$R,Partidos!$C:$C,Partidos!$X$2,Partidos!$G:$G,$B$3,Partidos!$D:$D,$A16)+SUMIFS(Partidos!$R:$R,Partidos!$C:$C,Partidos!$X$2,Partidos!$G:$G,$B$3,Partidos!$E:$E,$A16)))-(IF($A16="","",SUMIFS(Partidos!$R:$R,Partidos!$C:$C,Partidos!$X$2,Partidos!$D:$D,$B$3,Partidos!$F:$F,$A16)+SUMIFS(Partidos!$R:$R,Partidos!$C:$C,Partidos!$X$2,Partidos!$D:$D,$B$3,Partidos!$G:$G,$A16)+SUMIFS(Partidos!$R:$R,Partidos!$C:$C,Partidos!$X$2,Partidos!$E:$E,$B$3,Partidos!$F:$F,$A16)+SUMIFS(Partidos!$R:$R,Partidos!$C:$C,Partidos!$X$2,Partidos!$E:$E,$B$3,Partidos!$G:$G,$A16)+SUMIFS(Partidos!$Q:$Q,Partidos!$C:$C,Partidos!$X$2,Partidos!$F:$F,$B$3,Partidos!$D:$D,$A16)+SUMIFS(Partidos!$Q:$Q,Partidos!$C:$C,Partidos!$X$2,Partidos!$F:$F,$B$3,Partidos!$E:$E,$A16)+SUMIFS(Partidos!$Q:$Q,Partidos!$C:$C,Partidos!$X$2,Partidos!$G:$G,$B$3,Partidos!$D:$D,$A16)+SUMIFS(Partidos!$Q:$Q,Partidos!$C:$C,Partidos!$X$2,Partidos!$G:$G,$B$3,Partidos!$E:$E,$A16))))</f>
        <v>2</v>
      </c>
      <c r="H16" s="2"/>
      <c r="J16">
        <f t="shared" si="0"/>
        <v>8</v>
      </c>
      <c r="K16">
        <f t="shared" si="1"/>
        <v>2</v>
      </c>
    </row>
    <row r="17" spans="1:11" x14ac:dyDescent="0.3">
      <c r="A17" s="6" t="str">
        <f>IF(Jugadores!B14="","",IF(Jugadores!B14=$B$3,"",Jugadores!B14))</f>
        <v>Eva Pulido</v>
      </c>
      <c r="B17" s="2">
        <f>IF($A17="","",COUNTIFS(Partidos!$C:$C,Partidos!$X$2,Partidos!$D:$D,$B$3,Partidos!$F:$F,$A17)+COUNTIFS(Partidos!$C:$C,Partidos!$X$2,Partidos!$D:$D,$B$3,Partidos!$G:$G,$A17)+COUNTIFS(Partidos!$C:$C,Partidos!$X$2,Partidos!$E:$E,$B$3,Partidos!$F:$F,$A17)+COUNTIFS(Partidos!$C:$C,Partidos!$X$2,Partidos!$E:$E,$B$3,Partidos!$G:$G,$A17)+COUNTIFS(Partidos!$C:$C,Partidos!$X$2,Partidos!$F:$F,$B$3,Partidos!$D:$D,$A17)+COUNTIFS(Partidos!$C:$C,Partidos!$X$2,Partidos!$F:$F,$B$3,Partidos!$E:$E,$A17)+COUNTIFS(Partidos!$C:$C,Partidos!$X$2,Partidos!$G:$G,$B$3,Partidos!$D:$D,$A17)+COUNTIFS(Partidos!$C:$C,Partidos!$X$2,Partidos!$G:$G,$B$3,Partidos!$E:$E,$A17))</f>
        <v>6</v>
      </c>
      <c r="C17" s="2">
        <f>IF($A17="","",COUNTIFS(Partidos!$C:$C,Partidos!$X$2,Partidos!$P:$P,"A",Partidos!$D:$D,$B$3,Partidos!$F:$F,$A17)+COUNTIFS(Partidos!$C:$C,Partidos!$X$2,Partidos!$P:$P,"A",Partidos!$D:$D,$B$3,Partidos!$G:$G,$A17)+COUNTIFS(Partidos!$C:$C,Partidos!$X$2,Partidos!$P:$P,"A",Partidos!$E:$E,$B$3,Partidos!$F:$F,$A17)+COUNTIFS(Partidos!$C:$C,Partidos!$X$2,Partidos!$P:$P,"A",Partidos!$E:$E,$B$3,Partidos!$G:$G,$A17)+COUNTIFS(Partidos!$C:$C,Partidos!$X$2,Partidos!$P:$P,"B",Partidos!$F:$F,$B$3,Partidos!$D:$D,$A17)+COUNTIFS(Partidos!$C:$C,Partidos!$X$2,Partidos!$P:$P,"B",Partidos!$F:$F,$B$3,Partidos!$E:$E,$A17)+COUNTIFS(Partidos!$C:$C,Partidos!$X$2,Partidos!$P:$P,"B",Partidos!$G:$G,$B$3,Partidos!$D:$D,$A17)+COUNTIFS(Partidos!$C:$C,Partidos!$X$2,Partidos!$P:$P,"B",Partidos!$G:$G,$B$3,Partidos!$E:$E,$A17))</f>
        <v>4</v>
      </c>
      <c r="D17" s="2">
        <f>IF($A17="","",B17-C17)</f>
        <v>2</v>
      </c>
      <c r="E17" s="11">
        <f>IF($A17="","",IF(B17=0,"",C17/B17))</f>
        <v>0.66666666666666663</v>
      </c>
      <c r="F17" s="13" t="str">
        <f>IF($A17="","",(IF($A17="","",SUMIFS(Partidos!$N:$N,Partidos!$C:$C,Partidos!$X$2,Partidos!$D:$D,$B$3,Partidos!$F:$F,$A17)+SUMIFS(Partidos!$N:$N,Partidos!$C:$C,Partidos!$X$2,Partidos!$D:$D,$B$3,Partidos!$G:$G,$A17)+SUMIFS(Partidos!$N:$N,Partidos!$C:$C,Partidos!$X$2,Partidos!$E:$E,$B$3,Partidos!$F:$F,$A17)+SUMIFS(Partidos!$N:$N,Partidos!$C:$C,Partidos!$X$2,Partidos!$E:$E,$B$3,Partidos!$G:$G,$A17)+SUMIFS(Partidos!$O:$O,Partidos!$C:$C,Partidos!$X$2,Partidos!$F:$F,$B$3,Partidos!$D:$D,$A17)+SUMIFS(Partidos!$O:$O,Partidos!$C:$C,Partidos!$X$2,Partidos!$F:$F,$B$3,Partidos!$E:$E,$A17)+SUMIFS(Partidos!$O:$O,Partidos!$C:$C,Partidos!$X$2,Partidos!$G:$G,$B$3,Partidos!$D:$D,$A17)+SUMIFS(Partidos!$O:$O,Partidos!$C:$C,Partidos!$X$2,Partidos!$G:$G,$B$3,Partidos!$E:$E,$A17)))&amp;"-"&amp;(IF($A17="","",SUMIFS(Partidos!$O:$O,Partidos!$C:$C,Partidos!$X$2,Partidos!$D:$D,$B$3,Partidos!$F:$F,$A17)+SUMIFS(Partidos!$O:$O,Partidos!$C:$C,Partidos!$X$2,Partidos!$D:$D,$B$3,Partidos!$G:$G,$A17)+SUMIFS(Partidos!$O:$O,Partidos!$C:$C,Partidos!$X$2,Partidos!$E:$E,$B$3,Partidos!$F:$F,$A17)+SUMIFS(Partidos!$O:$O,Partidos!$C:$C,Partidos!$X$2,Partidos!$E:$E,$B$3,Partidos!$G:$G,$A17)+SUMIFS(Partidos!$N:$N,Partidos!$C:$C,Partidos!$X$2,Partidos!$F:$F,$B$3,Partidos!$D:$D,$A17)+SUMIFS(Partidos!$N:$N,Partidos!$C:$C,Partidos!$X$2,Partidos!$F:$F,$B$3,Partidos!$E:$E,$A17)+SUMIFS(Partidos!$N:$N,Partidos!$C:$C,Partidos!$X$2,Partidos!$G:$G,$B$3,Partidos!$D:$D,$A17)+SUMIFS(Partidos!$N:$N,Partidos!$C:$C,Partidos!$X$2,Partidos!$G:$G,$B$3,Partidos!$E:$E,$A17))))</f>
        <v>8-7</v>
      </c>
      <c r="G17" s="10">
        <f>IF($A17="","",(IF($A17="","",SUMIFS(Partidos!$Q:$Q,Partidos!$C:$C,Partidos!$X$2,Partidos!$D:$D,$B$3,Partidos!$F:$F,$A17)+SUMIFS(Partidos!$Q:$Q,Partidos!$C:$C,Partidos!$X$2,Partidos!$D:$D,$B$3,Partidos!$G:$G,$A17)+SUMIFS(Partidos!$Q:$Q,Partidos!$C:$C,Partidos!$X$2,Partidos!$E:$E,$B$3,Partidos!$F:$F,$A17)+SUMIFS(Partidos!$Q:$Q,Partidos!$C:$C,Partidos!$X$2,Partidos!$E:$E,$B$3,Partidos!$G:$G,$A17)+SUMIFS(Partidos!$R:$R,Partidos!$C:$C,Partidos!$X$2,Partidos!$F:$F,$B$3,Partidos!$D:$D,$A17)+SUMIFS(Partidos!$R:$R,Partidos!$C:$C,Partidos!$X$2,Partidos!$F:$F,$B$3,Partidos!$E:$E,$A17)+SUMIFS(Partidos!$R:$R,Partidos!$C:$C,Partidos!$X$2,Partidos!$G:$G,$B$3,Partidos!$D:$D,$A17)+SUMIFS(Partidos!$R:$R,Partidos!$C:$C,Partidos!$X$2,Partidos!$G:$G,$B$3,Partidos!$E:$E,$A17)))-(IF($A17="","",SUMIFS(Partidos!$R:$R,Partidos!$C:$C,Partidos!$X$2,Partidos!$D:$D,$B$3,Partidos!$F:$F,$A17)+SUMIFS(Partidos!$R:$R,Partidos!$C:$C,Partidos!$X$2,Partidos!$D:$D,$B$3,Partidos!$G:$G,$A17)+SUMIFS(Partidos!$R:$R,Partidos!$C:$C,Partidos!$X$2,Partidos!$E:$E,$B$3,Partidos!$F:$F,$A17)+SUMIFS(Partidos!$R:$R,Partidos!$C:$C,Partidos!$X$2,Partidos!$E:$E,$B$3,Partidos!$G:$G,$A17)+SUMIFS(Partidos!$Q:$Q,Partidos!$C:$C,Partidos!$X$2,Partidos!$F:$F,$B$3,Partidos!$D:$D,$A17)+SUMIFS(Partidos!$Q:$Q,Partidos!$C:$C,Partidos!$X$2,Partidos!$F:$F,$B$3,Partidos!$E:$E,$A17)+SUMIFS(Partidos!$Q:$Q,Partidos!$C:$C,Partidos!$X$2,Partidos!$G:$G,$B$3,Partidos!$D:$D,$A17)+SUMIFS(Partidos!$Q:$Q,Partidos!$C:$C,Partidos!$X$2,Partidos!$G:$G,$B$3,Partidos!$E:$E,$A17))))</f>
        <v>-4</v>
      </c>
      <c r="H17" s="2"/>
      <c r="J17">
        <f t="shared" si="0"/>
        <v>5</v>
      </c>
      <c r="K17">
        <f t="shared" si="1"/>
        <v>1</v>
      </c>
    </row>
    <row r="18" spans="1:11" x14ac:dyDescent="0.3">
      <c r="A18" s="6" t="str">
        <f>IF(Jugadores!B4="","",IF(Jugadores!B4=$B$3,"",Jugadores!B4))</f>
        <v>José López</v>
      </c>
      <c r="B18" s="2">
        <f>IF($A18="","",COUNTIFS(Partidos!$C:$C,Partidos!$X$2,Partidos!$D:$D,$B$3,Partidos!$F:$F,$A18)+COUNTIFS(Partidos!$C:$C,Partidos!$X$2,Partidos!$D:$D,$B$3,Partidos!$G:$G,$A18)+COUNTIFS(Partidos!$C:$C,Partidos!$X$2,Partidos!$E:$E,$B$3,Partidos!$F:$F,$A18)+COUNTIFS(Partidos!$C:$C,Partidos!$X$2,Partidos!$E:$E,$B$3,Partidos!$G:$G,$A18)+COUNTIFS(Partidos!$C:$C,Partidos!$X$2,Partidos!$F:$F,$B$3,Partidos!$D:$D,$A18)+COUNTIFS(Partidos!$C:$C,Partidos!$X$2,Partidos!$F:$F,$B$3,Partidos!$E:$E,$A18)+COUNTIFS(Partidos!$C:$C,Partidos!$X$2,Partidos!$G:$G,$B$3,Partidos!$D:$D,$A18)+COUNTIFS(Partidos!$C:$C,Partidos!$X$2,Partidos!$G:$G,$B$3,Partidos!$E:$E,$A18))</f>
        <v>0</v>
      </c>
      <c r="C18" s="2">
        <f>IF($A18="","",COUNTIFS(Partidos!$C:$C,Partidos!$X$2,Partidos!$P:$P,"A",Partidos!$D:$D,$B$3,Partidos!$F:$F,$A18)+COUNTIFS(Partidos!$C:$C,Partidos!$X$2,Partidos!$P:$P,"A",Partidos!$D:$D,$B$3,Partidos!$G:$G,$A18)+COUNTIFS(Partidos!$C:$C,Partidos!$X$2,Partidos!$P:$P,"A",Partidos!$E:$E,$B$3,Partidos!$F:$F,$A18)+COUNTIFS(Partidos!$C:$C,Partidos!$X$2,Partidos!$P:$P,"A",Partidos!$E:$E,$B$3,Partidos!$G:$G,$A18)+COUNTIFS(Partidos!$C:$C,Partidos!$X$2,Partidos!$P:$P,"B",Partidos!$F:$F,$B$3,Partidos!$D:$D,$A18)+COUNTIFS(Partidos!$C:$C,Partidos!$X$2,Partidos!$P:$P,"B",Partidos!$F:$F,$B$3,Partidos!$E:$E,$A18)+COUNTIFS(Partidos!$C:$C,Partidos!$X$2,Partidos!$P:$P,"B",Partidos!$G:$G,$B$3,Partidos!$D:$D,$A18)+COUNTIFS(Partidos!$C:$C,Partidos!$X$2,Partidos!$P:$P,"B",Partidos!$G:$G,$B$3,Partidos!$E:$E,$A18))</f>
        <v>0</v>
      </c>
      <c r="D18" s="2">
        <f>IF($A18="","",B18-C18)</f>
        <v>0</v>
      </c>
      <c r="E18" s="11" t="str">
        <f>IF($A18="","",IF(B18=0,"",C18/B18))</f>
        <v/>
      </c>
      <c r="F18" s="13" t="str">
        <f>IF($A18="","",(IF($A18="","",SUMIFS(Partidos!$N:$N,Partidos!$C:$C,Partidos!$X$2,Partidos!$D:$D,$B$3,Partidos!$F:$F,$A18)+SUMIFS(Partidos!$N:$N,Partidos!$C:$C,Partidos!$X$2,Partidos!$D:$D,$B$3,Partidos!$G:$G,$A18)+SUMIFS(Partidos!$N:$N,Partidos!$C:$C,Partidos!$X$2,Partidos!$E:$E,$B$3,Partidos!$F:$F,$A18)+SUMIFS(Partidos!$N:$N,Partidos!$C:$C,Partidos!$X$2,Partidos!$E:$E,$B$3,Partidos!$G:$G,$A18)+SUMIFS(Partidos!$O:$O,Partidos!$C:$C,Partidos!$X$2,Partidos!$F:$F,$B$3,Partidos!$D:$D,$A18)+SUMIFS(Partidos!$O:$O,Partidos!$C:$C,Partidos!$X$2,Partidos!$F:$F,$B$3,Partidos!$E:$E,$A18)+SUMIFS(Partidos!$O:$O,Partidos!$C:$C,Partidos!$X$2,Partidos!$G:$G,$B$3,Partidos!$D:$D,$A18)+SUMIFS(Partidos!$O:$O,Partidos!$C:$C,Partidos!$X$2,Partidos!$G:$G,$B$3,Partidos!$E:$E,$A18)))&amp;"-"&amp;(IF($A18="","",SUMIFS(Partidos!$O:$O,Partidos!$C:$C,Partidos!$X$2,Partidos!$D:$D,$B$3,Partidos!$F:$F,$A18)+SUMIFS(Partidos!$O:$O,Partidos!$C:$C,Partidos!$X$2,Partidos!$D:$D,$B$3,Partidos!$G:$G,$A18)+SUMIFS(Partidos!$O:$O,Partidos!$C:$C,Partidos!$X$2,Partidos!$E:$E,$B$3,Partidos!$F:$F,$A18)+SUMIFS(Partidos!$O:$O,Partidos!$C:$C,Partidos!$X$2,Partidos!$E:$E,$B$3,Partidos!$G:$G,$A18)+SUMIFS(Partidos!$N:$N,Partidos!$C:$C,Partidos!$X$2,Partidos!$F:$F,$B$3,Partidos!$D:$D,$A18)+SUMIFS(Partidos!$N:$N,Partidos!$C:$C,Partidos!$X$2,Partidos!$F:$F,$B$3,Partidos!$E:$E,$A18)+SUMIFS(Partidos!$N:$N,Partidos!$C:$C,Partidos!$X$2,Partidos!$G:$G,$B$3,Partidos!$D:$D,$A18)+SUMIFS(Partidos!$N:$N,Partidos!$C:$C,Partidos!$X$2,Partidos!$G:$G,$B$3,Partidos!$E:$E,$A18))))</f>
        <v>0-0</v>
      </c>
      <c r="G18" s="10">
        <f>IF($A18="","",(IF($A18="","",SUMIFS(Partidos!$Q:$Q,Partidos!$C:$C,Partidos!$X$2,Partidos!$D:$D,$B$3,Partidos!$F:$F,$A18)+SUMIFS(Partidos!$Q:$Q,Partidos!$C:$C,Partidos!$X$2,Partidos!$D:$D,$B$3,Partidos!$G:$G,$A18)+SUMIFS(Partidos!$Q:$Q,Partidos!$C:$C,Partidos!$X$2,Partidos!$E:$E,$B$3,Partidos!$F:$F,$A18)+SUMIFS(Partidos!$Q:$Q,Partidos!$C:$C,Partidos!$X$2,Partidos!$E:$E,$B$3,Partidos!$G:$G,$A18)+SUMIFS(Partidos!$R:$R,Partidos!$C:$C,Partidos!$X$2,Partidos!$F:$F,$B$3,Partidos!$D:$D,$A18)+SUMIFS(Partidos!$R:$R,Partidos!$C:$C,Partidos!$X$2,Partidos!$F:$F,$B$3,Partidos!$E:$E,$A18)+SUMIFS(Partidos!$R:$R,Partidos!$C:$C,Partidos!$X$2,Partidos!$G:$G,$B$3,Partidos!$D:$D,$A18)+SUMIFS(Partidos!$R:$R,Partidos!$C:$C,Partidos!$X$2,Partidos!$G:$G,$B$3,Partidos!$E:$E,$A18)))-(IF($A18="","",SUMIFS(Partidos!$R:$R,Partidos!$C:$C,Partidos!$X$2,Partidos!$D:$D,$B$3,Partidos!$F:$F,$A18)+SUMIFS(Partidos!$R:$R,Partidos!$C:$C,Partidos!$X$2,Partidos!$D:$D,$B$3,Partidos!$G:$G,$A18)+SUMIFS(Partidos!$R:$R,Partidos!$C:$C,Partidos!$X$2,Partidos!$E:$E,$B$3,Partidos!$F:$F,$A18)+SUMIFS(Partidos!$R:$R,Partidos!$C:$C,Partidos!$X$2,Partidos!$E:$E,$B$3,Partidos!$G:$G,$A18)+SUMIFS(Partidos!$Q:$Q,Partidos!$C:$C,Partidos!$X$2,Partidos!$F:$F,$B$3,Partidos!$D:$D,$A18)+SUMIFS(Partidos!$Q:$Q,Partidos!$C:$C,Partidos!$X$2,Partidos!$F:$F,$B$3,Partidos!$E:$E,$A18)+SUMIFS(Partidos!$Q:$Q,Partidos!$C:$C,Partidos!$X$2,Partidos!$G:$G,$B$3,Partidos!$D:$D,$A18)+SUMIFS(Partidos!$Q:$Q,Partidos!$C:$C,Partidos!$X$2,Partidos!$G:$G,$B$3,Partidos!$E:$E,$A18))))</f>
        <v>0</v>
      </c>
      <c r="H18" s="2"/>
      <c r="J18">
        <f t="shared" si="0"/>
        <v>14</v>
      </c>
      <c r="K18" t="e">
        <f t="shared" si="1"/>
        <v>#VALUE!</v>
      </c>
    </row>
    <row r="19" spans="1:11" x14ac:dyDescent="0.3">
      <c r="A19" s="6" t="str">
        <f>IF(Jugadores!B10="","",IF(Jugadores!B10=$B$3,"",Jugadores!B10))</f>
        <v>Wilfredo Santana</v>
      </c>
      <c r="B19" s="2">
        <f>IF($A19="","",COUNTIFS(Partidos!$C:$C,Partidos!$X$2,Partidos!$D:$D,$B$3,Partidos!$F:$F,$A19)+COUNTIFS(Partidos!$C:$C,Partidos!$X$2,Partidos!$D:$D,$B$3,Partidos!$G:$G,$A19)+COUNTIFS(Partidos!$C:$C,Partidos!$X$2,Partidos!$E:$E,$B$3,Partidos!$F:$F,$A19)+COUNTIFS(Partidos!$C:$C,Partidos!$X$2,Partidos!$E:$E,$B$3,Partidos!$G:$G,$A19)+COUNTIFS(Partidos!$C:$C,Partidos!$X$2,Partidos!$F:$F,$B$3,Partidos!$D:$D,$A19)+COUNTIFS(Partidos!$C:$C,Partidos!$X$2,Partidos!$F:$F,$B$3,Partidos!$E:$E,$A19)+COUNTIFS(Partidos!$C:$C,Partidos!$X$2,Partidos!$G:$G,$B$3,Partidos!$D:$D,$A19)+COUNTIFS(Partidos!$C:$C,Partidos!$X$2,Partidos!$G:$G,$B$3,Partidos!$E:$E,$A19))</f>
        <v>0</v>
      </c>
      <c r="C19" s="2">
        <f>IF($A19="","",COUNTIFS(Partidos!$C:$C,Partidos!$X$2,Partidos!$P:$P,"A",Partidos!$D:$D,$B$3,Partidos!$F:$F,$A19)+COUNTIFS(Partidos!$C:$C,Partidos!$X$2,Partidos!$P:$P,"A",Partidos!$D:$D,$B$3,Partidos!$G:$G,$A19)+COUNTIFS(Partidos!$C:$C,Partidos!$X$2,Partidos!$P:$P,"A",Partidos!$E:$E,$B$3,Partidos!$F:$F,$A19)+COUNTIFS(Partidos!$C:$C,Partidos!$X$2,Partidos!$P:$P,"A",Partidos!$E:$E,$B$3,Partidos!$G:$G,$A19)+COUNTIFS(Partidos!$C:$C,Partidos!$X$2,Partidos!$P:$P,"B",Partidos!$F:$F,$B$3,Partidos!$D:$D,$A19)+COUNTIFS(Partidos!$C:$C,Partidos!$X$2,Partidos!$P:$P,"B",Partidos!$F:$F,$B$3,Partidos!$E:$E,$A19)+COUNTIFS(Partidos!$C:$C,Partidos!$X$2,Partidos!$P:$P,"B",Partidos!$G:$G,$B$3,Partidos!$D:$D,$A19)+COUNTIFS(Partidos!$C:$C,Partidos!$X$2,Partidos!$P:$P,"B",Partidos!$G:$G,$B$3,Partidos!$E:$E,$A19))</f>
        <v>0</v>
      </c>
      <c r="D19" s="2">
        <f>IF($A19="","",B19-C19)</f>
        <v>0</v>
      </c>
      <c r="E19" s="11" t="str">
        <f>IF($A19="","",IF(B19=0,"",C19/B19))</f>
        <v/>
      </c>
      <c r="F19" s="13" t="str">
        <f>IF($A19="","",(IF($A19="","",SUMIFS(Partidos!$N:$N,Partidos!$C:$C,Partidos!$X$2,Partidos!$D:$D,$B$3,Partidos!$F:$F,$A19)+SUMIFS(Partidos!$N:$N,Partidos!$C:$C,Partidos!$X$2,Partidos!$D:$D,$B$3,Partidos!$G:$G,$A19)+SUMIFS(Partidos!$N:$N,Partidos!$C:$C,Partidos!$X$2,Partidos!$E:$E,$B$3,Partidos!$F:$F,$A19)+SUMIFS(Partidos!$N:$N,Partidos!$C:$C,Partidos!$X$2,Partidos!$E:$E,$B$3,Partidos!$G:$G,$A19)+SUMIFS(Partidos!$O:$O,Partidos!$C:$C,Partidos!$X$2,Partidos!$F:$F,$B$3,Partidos!$D:$D,$A19)+SUMIFS(Partidos!$O:$O,Partidos!$C:$C,Partidos!$X$2,Partidos!$F:$F,$B$3,Partidos!$E:$E,$A19)+SUMIFS(Partidos!$O:$O,Partidos!$C:$C,Partidos!$X$2,Partidos!$G:$G,$B$3,Partidos!$D:$D,$A19)+SUMIFS(Partidos!$O:$O,Partidos!$C:$C,Partidos!$X$2,Partidos!$G:$G,$B$3,Partidos!$E:$E,$A19)))&amp;"-"&amp;(IF($A19="","",SUMIFS(Partidos!$O:$O,Partidos!$C:$C,Partidos!$X$2,Partidos!$D:$D,$B$3,Partidos!$F:$F,$A19)+SUMIFS(Partidos!$O:$O,Partidos!$C:$C,Partidos!$X$2,Partidos!$D:$D,$B$3,Partidos!$G:$G,$A19)+SUMIFS(Partidos!$O:$O,Partidos!$C:$C,Partidos!$X$2,Partidos!$E:$E,$B$3,Partidos!$F:$F,$A19)+SUMIFS(Partidos!$O:$O,Partidos!$C:$C,Partidos!$X$2,Partidos!$E:$E,$B$3,Partidos!$G:$G,$A19)+SUMIFS(Partidos!$N:$N,Partidos!$C:$C,Partidos!$X$2,Partidos!$F:$F,$B$3,Partidos!$D:$D,$A19)+SUMIFS(Partidos!$N:$N,Partidos!$C:$C,Partidos!$X$2,Partidos!$F:$F,$B$3,Partidos!$E:$E,$A19)+SUMIFS(Partidos!$N:$N,Partidos!$C:$C,Partidos!$X$2,Partidos!$G:$G,$B$3,Partidos!$D:$D,$A19)+SUMIFS(Partidos!$N:$N,Partidos!$C:$C,Partidos!$X$2,Partidos!$G:$G,$B$3,Partidos!$E:$E,$A19))))</f>
        <v>0-0</v>
      </c>
      <c r="G19" s="10">
        <f>IF($A19="","",(IF($A19="","",SUMIFS(Partidos!$Q:$Q,Partidos!$C:$C,Partidos!$X$2,Partidos!$D:$D,$B$3,Partidos!$F:$F,$A19)+SUMIFS(Partidos!$Q:$Q,Partidos!$C:$C,Partidos!$X$2,Partidos!$D:$D,$B$3,Partidos!$G:$G,$A19)+SUMIFS(Partidos!$Q:$Q,Partidos!$C:$C,Partidos!$X$2,Partidos!$E:$E,$B$3,Partidos!$F:$F,$A19)+SUMIFS(Partidos!$Q:$Q,Partidos!$C:$C,Partidos!$X$2,Partidos!$E:$E,$B$3,Partidos!$G:$G,$A19)+SUMIFS(Partidos!$R:$R,Partidos!$C:$C,Partidos!$X$2,Partidos!$F:$F,$B$3,Partidos!$D:$D,$A19)+SUMIFS(Partidos!$R:$R,Partidos!$C:$C,Partidos!$X$2,Partidos!$F:$F,$B$3,Partidos!$E:$E,$A19)+SUMIFS(Partidos!$R:$R,Partidos!$C:$C,Partidos!$X$2,Partidos!$G:$G,$B$3,Partidos!$D:$D,$A19)+SUMIFS(Partidos!$R:$R,Partidos!$C:$C,Partidos!$X$2,Partidos!$G:$G,$B$3,Partidos!$E:$E,$A19)))-(IF($A19="","",SUMIFS(Partidos!$R:$R,Partidos!$C:$C,Partidos!$X$2,Partidos!$D:$D,$B$3,Partidos!$F:$F,$A19)+SUMIFS(Partidos!$R:$R,Partidos!$C:$C,Partidos!$X$2,Partidos!$D:$D,$B$3,Partidos!$G:$G,$A19)+SUMIFS(Partidos!$R:$R,Partidos!$C:$C,Partidos!$X$2,Partidos!$E:$E,$B$3,Partidos!$F:$F,$A19)+SUMIFS(Partidos!$R:$R,Partidos!$C:$C,Partidos!$X$2,Partidos!$E:$E,$B$3,Partidos!$G:$G,$A19)+SUMIFS(Partidos!$Q:$Q,Partidos!$C:$C,Partidos!$X$2,Partidos!$F:$F,$B$3,Partidos!$D:$D,$A19)+SUMIFS(Partidos!$Q:$Q,Partidos!$C:$C,Partidos!$X$2,Partidos!$F:$F,$B$3,Partidos!$E:$E,$A19)+SUMIFS(Partidos!$Q:$Q,Partidos!$C:$C,Partidos!$X$2,Partidos!$G:$G,$B$3,Partidos!$D:$D,$A19)+SUMIFS(Partidos!$Q:$Q,Partidos!$C:$C,Partidos!$X$2,Partidos!$G:$G,$B$3,Partidos!$E:$E,$A19))))</f>
        <v>0</v>
      </c>
      <c r="H19" s="2"/>
      <c r="J19">
        <f t="shared" si="0"/>
        <v>13</v>
      </c>
      <c r="K19" t="e">
        <f t="shared" si="1"/>
        <v>#VALUE!</v>
      </c>
    </row>
    <row r="20" spans="1:11" x14ac:dyDescent="0.3">
      <c r="A20" s="6" t="str">
        <f>IF(Jugadores!B17="","",IF(Jugadores!B17=$B$3,"",Jugadores!B17))</f>
        <v/>
      </c>
      <c r="B20" s="2" t="str">
        <f>IF($A20="","",COUNTIFS(Partidos!$C:$C,Partidos!$X$2,Partidos!$D:$D,$B$3,Partidos!$F:$F,$A20)+COUNTIFS(Partidos!$C:$C,Partidos!$X$2,Partidos!$D:$D,$B$3,Partidos!$G:$G,$A20)+COUNTIFS(Partidos!$C:$C,Partidos!$X$2,Partidos!$E:$E,$B$3,Partidos!$F:$F,$A20)+COUNTIFS(Partidos!$C:$C,Partidos!$X$2,Partidos!$E:$E,$B$3,Partidos!$G:$G,$A20)+COUNTIFS(Partidos!$C:$C,Partidos!$X$2,Partidos!$F:$F,$B$3,Partidos!$D:$D,$A20)+COUNTIFS(Partidos!$C:$C,Partidos!$X$2,Partidos!$F:$F,$B$3,Partidos!$E:$E,$A20)+COUNTIFS(Partidos!$C:$C,Partidos!$X$2,Partidos!$G:$G,$B$3,Partidos!$D:$D,$A20)+COUNTIFS(Partidos!$C:$C,Partidos!$X$2,Partidos!$G:$G,$B$3,Partidos!$E:$E,$A20))</f>
        <v/>
      </c>
      <c r="C20" s="2" t="str">
        <f>IF($A20="","",COUNTIFS(Partidos!$C:$C,Partidos!$X$2,Partidos!$P:$P,"A",Partidos!$D:$D,$B$3,Partidos!$F:$F,$A20)+COUNTIFS(Partidos!$C:$C,Partidos!$X$2,Partidos!$P:$P,"A",Partidos!$D:$D,$B$3,Partidos!$G:$G,$A20)+COUNTIFS(Partidos!$C:$C,Partidos!$X$2,Partidos!$P:$P,"A",Partidos!$E:$E,$B$3,Partidos!$F:$F,$A20)+COUNTIFS(Partidos!$C:$C,Partidos!$X$2,Partidos!$P:$P,"A",Partidos!$E:$E,$B$3,Partidos!$G:$G,$A20)+COUNTIFS(Partidos!$C:$C,Partidos!$X$2,Partidos!$P:$P,"B",Partidos!$F:$F,$B$3,Partidos!$D:$D,$A20)+COUNTIFS(Partidos!$C:$C,Partidos!$X$2,Partidos!$P:$P,"B",Partidos!$F:$F,$B$3,Partidos!$E:$E,$A20)+COUNTIFS(Partidos!$C:$C,Partidos!$X$2,Partidos!$P:$P,"B",Partidos!$G:$G,$B$3,Partidos!$D:$D,$A20)+COUNTIFS(Partidos!$C:$C,Partidos!$X$2,Partidos!$P:$P,"B",Partidos!$G:$G,$B$3,Partidos!$E:$E,$A20))</f>
        <v/>
      </c>
      <c r="D20" s="2" t="str">
        <f>IF($A20="","",B20-C20)</f>
        <v/>
      </c>
      <c r="E20" s="11" t="str">
        <f>IF($A20="","",IF(B20=0,"",C20/B20))</f>
        <v/>
      </c>
      <c r="F20" s="13" t="str">
        <f>IF($A20="","",(IF($A20="","",SUMIFS(Partidos!$N:$N,Partidos!$C:$C,Partidos!$X$2,Partidos!$D:$D,$B$3,Partidos!$F:$F,$A20)+SUMIFS(Partidos!$N:$N,Partidos!$C:$C,Partidos!$X$2,Partidos!$D:$D,$B$3,Partidos!$G:$G,$A20)+SUMIFS(Partidos!$N:$N,Partidos!$C:$C,Partidos!$X$2,Partidos!$E:$E,$B$3,Partidos!$F:$F,$A20)+SUMIFS(Partidos!$N:$N,Partidos!$C:$C,Partidos!$X$2,Partidos!$E:$E,$B$3,Partidos!$G:$G,$A20)+SUMIFS(Partidos!$O:$O,Partidos!$C:$C,Partidos!$X$2,Partidos!$F:$F,$B$3,Partidos!$D:$D,$A20)+SUMIFS(Partidos!$O:$O,Partidos!$C:$C,Partidos!$X$2,Partidos!$F:$F,$B$3,Partidos!$E:$E,$A20)+SUMIFS(Partidos!$O:$O,Partidos!$C:$C,Partidos!$X$2,Partidos!$G:$G,$B$3,Partidos!$D:$D,$A20)+SUMIFS(Partidos!$O:$O,Partidos!$C:$C,Partidos!$X$2,Partidos!$G:$G,$B$3,Partidos!$E:$E,$A20)))&amp;"-"&amp;(IF($A20="","",SUMIFS(Partidos!$O:$O,Partidos!$C:$C,Partidos!$X$2,Partidos!$D:$D,$B$3,Partidos!$F:$F,$A20)+SUMIFS(Partidos!$O:$O,Partidos!$C:$C,Partidos!$X$2,Partidos!$D:$D,$B$3,Partidos!$G:$G,$A20)+SUMIFS(Partidos!$O:$O,Partidos!$C:$C,Partidos!$X$2,Partidos!$E:$E,$B$3,Partidos!$F:$F,$A20)+SUMIFS(Partidos!$O:$O,Partidos!$C:$C,Partidos!$X$2,Partidos!$E:$E,$B$3,Partidos!$G:$G,$A20)+SUMIFS(Partidos!$N:$N,Partidos!$C:$C,Partidos!$X$2,Partidos!$F:$F,$B$3,Partidos!$D:$D,$A20)+SUMIFS(Partidos!$N:$N,Partidos!$C:$C,Partidos!$X$2,Partidos!$F:$F,$B$3,Partidos!$E:$E,$A20)+SUMIFS(Partidos!$N:$N,Partidos!$C:$C,Partidos!$X$2,Partidos!$G:$G,$B$3,Partidos!$D:$D,$A20)+SUMIFS(Partidos!$N:$N,Partidos!$C:$C,Partidos!$X$2,Partidos!$G:$G,$B$3,Partidos!$E:$E,$A20))))</f>
        <v/>
      </c>
      <c r="G20" s="10" t="str">
        <f>IF($A20="","",(IF($A20="","",SUMIFS(Partidos!$Q:$Q,Partidos!$C:$C,Partidos!$X$2,Partidos!$D:$D,$B$3,Partidos!$F:$F,$A20)+SUMIFS(Partidos!$Q:$Q,Partidos!$C:$C,Partidos!$X$2,Partidos!$D:$D,$B$3,Partidos!$G:$G,$A20)+SUMIFS(Partidos!$Q:$Q,Partidos!$C:$C,Partidos!$X$2,Partidos!$E:$E,$B$3,Partidos!$F:$F,$A20)+SUMIFS(Partidos!$Q:$Q,Partidos!$C:$C,Partidos!$X$2,Partidos!$E:$E,$B$3,Partidos!$G:$G,$A20)+SUMIFS(Partidos!$R:$R,Partidos!$C:$C,Partidos!$X$2,Partidos!$F:$F,$B$3,Partidos!$D:$D,$A20)+SUMIFS(Partidos!$R:$R,Partidos!$C:$C,Partidos!$X$2,Partidos!$F:$F,$B$3,Partidos!$E:$E,$A20)+SUMIFS(Partidos!$R:$R,Partidos!$C:$C,Partidos!$X$2,Partidos!$G:$G,$B$3,Partidos!$D:$D,$A20)+SUMIFS(Partidos!$R:$R,Partidos!$C:$C,Partidos!$X$2,Partidos!$G:$G,$B$3,Partidos!$E:$E,$A20)))-(IF($A20="","",SUMIFS(Partidos!$R:$R,Partidos!$C:$C,Partidos!$X$2,Partidos!$D:$D,$B$3,Partidos!$F:$F,$A20)+SUMIFS(Partidos!$R:$R,Partidos!$C:$C,Partidos!$X$2,Partidos!$D:$D,$B$3,Partidos!$G:$G,$A20)+SUMIFS(Partidos!$R:$R,Partidos!$C:$C,Partidos!$X$2,Partidos!$E:$E,$B$3,Partidos!$F:$F,$A20)+SUMIFS(Partidos!$R:$R,Partidos!$C:$C,Partidos!$X$2,Partidos!$E:$E,$B$3,Partidos!$G:$G,$A20)+SUMIFS(Partidos!$Q:$Q,Partidos!$C:$C,Partidos!$X$2,Partidos!$F:$F,$B$3,Partidos!$D:$D,$A20)+SUMIFS(Partidos!$Q:$Q,Partidos!$C:$C,Partidos!$X$2,Partidos!$F:$F,$B$3,Partidos!$E:$E,$A20)+SUMIFS(Partidos!$Q:$Q,Partidos!$C:$C,Partidos!$X$2,Partidos!$G:$G,$B$3,Partidos!$D:$D,$A20)+SUMIFS(Partidos!$Q:$Q,Partidos!$C:$C,Partidos!$X$2,Partidos!$G:$G,$B$3,Partidos!$E:$E,$A20))))</f>
        <v/>
      </c>
      <c r="H20" s="2"/>
      <c r="J20" t="str">
        <f t="shared" si="0"/>
        <v/>
      </c>
      <c r="K20" t="str">
        <f t="shared" si="1"/>
        <v/>
      </c>
    </row>
    <row r="21" spans="1:11" x14ac:dyDescent="0.3">
      <c r="A21" s="6" t="str">
        <f>IF(Jugadores!B8="","",IF(Jugadores!B8=$B$3,"",Jugadores!B8))</f>
        <v>Cristo Marrero</v>
      </c>
      <c r="B21" s="2">
        <f>IF($A21="","",COUNTIFS(Partidos!$C:$C,Partidos!$X$2,Partidos!$D:$D,$B$3,Partidos!$F:$F,$A21)+COUNTIFS(Partidos!$C:$C,Partidos!$X$2,Partidos!$D:$D,$B$3,Partidos!$G:$G,$A21)+COUNTIFS(Partidos!$C:$C,Partidos!$X$2,Partidos!$E:$E,$B$3,Partidos!$F:$F,$A21)+COUNTIFS(Partidos!$C:$C,Partidos!$X$2,Partidos!$E:$E,$B$3,Partidos!$G:$G,$A21)+COUNTIFS(Partidos!$C:$C,Partidos!$X$2,Partidos!$F:$F,$B$3,Partidos!$D:$D,$A21)+COUNTIFS(Partidos!$C:$C,Partidos!$X$2,Partidos!$F:$F,$B$3,Partidos!$E:$E,$A21)+COUNTIFS(Partidos!$C:$C,Partidos!$X$2,Partidos!$G:$G,$B$3,Partidos!$D:$D,$A21)+COUNTIFS(Partidos!$C:$C,Partidos!$X$2,Partidos!$G:$G,$B$3,Partidos!$E:$E,$A21))</f>
        <v>0</v>
      </c>
      <c r="C21" s="2">
        <f>IF($A21="","",COUNTIFS(Partidos!$C:$C,Partidos!$X$2,Partidos!$P:$P,"A",Partidos!$D:$D,$B$3,Partidos!$F:$F,$A21)+COUNTIFS(Partidos!$C:$C,Partidos!$X$2,Partidos!$P:$P,"A",Partidos!$D:$D,$B$3,Partidos!$G:$G,$A21)+COUNTIFS(Partidos!$C:$C,Partidos!$X$2,Partidos!$P:$P,"A",Partidos!$E:$E,$B$3,Partidos!$F:$F,$A21)+COUNTIFS(Partidos!$C:$C,Partidos!$X$2,Partidos!$P:$P,"A",Partidos!$E:$E,$B$3,Partidos!$G:$G,$A21)+COUNTIFS(Partidos!$C:$C,Partidos!$X$2,Partidos!$P:$P,"B",Partidos!$F:$F,$B$3,Partidos!$D:$D,$A21)+COUNTIFS(Partidos!$C:$C,Partidos!$X$2,Partidos!$P:$P,"B",Partidos!$F:$F,$B$3,Partidos!$E:$E,$A21)+COUNTIFS(Partidos!$C:$C,Partidos!$X$2,Partidos!$P:$P,"B",Partidos!$G:$G,$B$3,Partidos!$D:$D,$A21)+COUNTIFS(Partidos!$C:$C,Partidos!$X$2,Partidos!$P:$P,"B",Partidos!$G:$G,$B$3,Partidos!$E:$E,$A21))</f>
        <v>0</v>
      </c>
      <c r="D21" s="2">
        <f>IF($A21="","",B21-C21)</f>
        <v>0</v>
      </c>
      <c r="E21" s="11" t="str">
        <f>IF($A21="","",IF(B21=0,"",C21/B21))</f>
        <v/>
      </c>
      <c r="F21" s="13" t="str">
        <f>IF($A21="","",(IF($A21="","",SUMIFS(Partidos!$N:$N,Partidos!$C:$C,Partidos!$X$2,Partidos!$D:$D,$B$3,Partidos!$F:$F,$A21)+SUMIFS(Partidos!$N:$N,Partidos!$C:$C,Partidos!$X$2,Partidos!$D:$D,$B$3,Partidos!$G:$G,$A21)+SUMIFS(Partidos!$N:$N,Partidos!$C:$C,Partidos!$X$2,Partidos!$E:$E,$B$3,Partidos!$F:$F,$A21)+SUMIFS(Partidos!$N:$N,Partidos!$C:$C,Partidos!$X$2,Partidos!$E:$E,$B$3,Partidos!$G:$G,$A21)+SUMIFS(Partidos!$O:$O,Partidos!$C:$C,Partidos!$X$2,Partidos!$F:$F,$B$3,Partidos!$D:$D,$A21)+SUMIFS(Partidos!$O:$O,Partidos!$C:$C,Partidos!$X$2,Partidos!$F:$F,$B$3,Partidos!$E:$E,$A21)+SUMIFS(Partidos!$O:$O,Partidos!$C:$C,Partidos!$X$2,Partidos!$G:$G,$B$3,Partidos!$D:$D,$A21)+SUMIFS(Partidos!$O:$O,Partidos!$C:$C,Partidos!$X$2,Partidos!$G:$G,$B$3,Partidos!$E:$E,$A21)))&amp;"-"&amp;(IF($A21="","",SUMIFS(Partidos!$O:$O,Partidos!$C:$C,Partidos!$X$2,Partidos!$D:$D,$B$3,Partidos!$F:$F,$A21)+SUMIFS(Partidos!$O:$O,Partidos!$C:$C,Partidos!$X$2,Partidos!$D:$D,$B$3,Partidos!$G:$G,$A21)+SUMIFS(Partidos!$O:$O,Partidos!$C:$C,Partidos!$X$2,Partidos!$E:$E,$B$3,Partidos!$F:$F,$A21)+SUMIFS(Partidos!$O:$O,Partidos!$C:$C,Partidos!$X$2,Partidos!$E:$E,$B$3,Partidos!$G:$G,$A21)+SUMIFS(Partidos!$N:$N,Partidos!$C:$C,Partidos!$X$2,Partidos!$F:$F,$B$3,Partidos!$D:$D,$A21)+SUMIFS(Partidos!$N:$N,Partidos!$C:$C,Partidos!$X$2,Partidos!$F:$F,$B$3,Partidos!$E:$E,$A21)+SUMIFS(Partidos!$N:$N,Partidos!$C:$C,Partidos!$X$2,Partidos!$G:$G,$B$3,Partidos!$D:$D,$A21)+SUMIFS(Partidos!$N:$N,Partidos!$C:$C,Partidos!$X$2,Partidos!$G:$G,$B$3,Partidos!$E:$E,$A21))))</f>
        <v>0-0</v>
      </c>
      <c r="G21" s="10">
        <f>IF($A21="","",(IF($A21="","",SUMIFS(Partidos!$Q:$Q,Partidos!$C:$C,Partidos!$X$2,Partidos!$D:$D,$B$3,Partidos!$F:$F,$A21)+SUMIFS(Partidos!$Q:$Q,Partidos!$C:$C,Partidos!$X$2,Partidos!$D:$D,$B$3,Partidos!$G:$G,$A21)+SUMIFS(Partidos!$Q:$Q,Partidos!$C:$C,Partidos!$X$2,Partidos!$E:$E,$B$3,Partidos!$F:$F,$A21)+SUMIFS(Partidos!$Q:$Q,Partidos!$C:$C,Partidos!$X$2,Partidos!$E:$E,$B$3,Partidos!$G:$G,$A21)+SUMIFS(Partidos!$R:$R,Partidos!$C:$C,Partidos!$X$2,Partidos!$F:$F,$B$3,Partidos!$D:$D,$A21)+SUMIFS(Partidos!$R:$R,Partidos!$C:$C,Partidos!$X$2,Partidos!$F:$F,$B$3,Partidos!$E:$E,$A21)+SUMIFS(Partidos!$R:$R,Partidos!$C:$C,Partidos!$X$2,Partidos!$G:$G,$B$3,Partidos!$D:$D,$A21)+SUMIFS(Partidos!$R:$R,Partidos!$C:$C,Partidos!$X$2,Partidos!$G:$G,$B$3,Partidos!$E:$E,$A21)))-(IF($A21="","",SUMIFS(Partidos!$R:$R,Partidos!$C:$C,Partidos!$X$2,Partidos!$D:$D,$B$3,Partidos!$F:$F,$A21)+SUMIFS(Partidos!$R:$R,Partidos!$C:$C,Partidos!$X$2,Partidos!$D:$D,$B$3,Partidos!$G:$G,$A21)+SUMIFS(Partidos!$R:$R,Partidos!$C:$C,Partidos!$X$2,Partidos!$E:$E,$B$3,Partidos!$F:$F,$A21)+SUMIFS(Partidos!$R:$R,Partidos!$C:$C,Partidos!$X$2,Partidos!$E:$E,$B$3,Partidos!$G:$G,$A21)+SUMIFS(Partidos!$Q:$Q,Partidos!$C:$C,Partidos!$X$2,Partidos!$F:$F,$B$3,Partidos!$D:$D,$A21)+SUMIFS(Partidos!$Q:$Q,Partidos!$C:$C,Partidos!$X$2,Partidos!$F:$F,$B$3,Partidos!$E:$E,$A21)+SUMIFS(Partidos!$Q:$Q,Partidos!$C:$C,Partidos!$X$2,Partidos!$G:$G,$B$3,Partidos!$D:$D,$A21)+SUMIFS(Partidos!$Q:$Q,Partidos!$C:$C,Partidos!$X$2,Partidos!$G:$G,$B$3,Partidos!$E:$E,$A21))))</f>
        <v>0</v>
      </c>
      <c r="H21" s="2"/>
      <c r="J21">
        <f t="shared" si="0"/>
        <v>15</v>
      </c>
      <c r="K21" t="e">
        <f t="shared" si="1"/>
        <v>#VALUE!</v>
      </c>
    </row>
    <row r="22" spans="1:11" x14ac:dyDescent="0.3">
      <c r="A22" s="6" t="str">
        <f>IF(Jugadores!B18="","",IF(Jugadores!B18=$B$3,"",Jugadores!B18))</f>
        <v/>
      </c>
      <c r="B22" s="2" t="str">
        <f>IF($A22="","",COUNTIFS(Partidos!$C:$C,Partidos!$X$2,Partidos!$D:$D,$B$3,Partidos!$F:$F,$A22)+COUNTIFS(Partidos!$C:$C,Partidos!$X$2,Partidos!$D:$D,$B$3,Partidos!$G:$G,$A22)+COUNTIFS(Partidos!$C:$C,Partidos!$X$2,Partidos!$E:$E,$B$3,Partidos!$F:$F,$A22)+COUNTIFS(Partidos!$C:$C,Partidos!$X$2,Partidos!$E:$E,$B$3,Partidos!$G:$G,$A22)+COUNTIFS(Partidos!$C:$C,Partidos!$X$2,Partidos!$F:$F,$B$3,Partidos!$D:$D,$A22)+COUNTIFS(Partidos!$C:$C,Partidos!$X$2,Partidos!$F:$F,$B$3,Partidos!$E:$E,$A22)+COUNTIFS(Partidos!$C:$C,Partidos!$X$2,Partidos!$G:$G,$B$3,Partidos!$D:$D,$A22)+COUNTIFS(Partidos!$C:$C,Partidos!$X$2,Partidos!$G:$G,$B$3,Partidos!$E:$E,$A22))</f>
        <v/>
      </c>
      <c r="C22" s="2" t="str">
        <f>IF($A22="","",COUNTIFS(Partidos!$C:$C,Partidos!$X$2,Partidos!$P:$P,"A",Partidos!$D:$D,$B$3,Partidos!$F:$F,$A22)+COUNTIFS(Partidos!$C:$C,Partidos!$X$2,Partidos!$P:$P,"A",Partidos!$D:$D,$B$3,Partidos!$G:$G,$A22)+COUNTIFS(Partidos!$C:$C,Partidos!$X$2,Partidos!$P:$P,"A",Partidos!$E:$E,$B$3,Partidos!$F:$F,$A22)+COUNTIFS(Partidos!$C:$C,Partidos!$X$2,Partidos!$P:$P,"A",Partidos!$E:$E,$B$3,Partidos!$G:$G,$A22)+COUNTIFS(Partidos!$C:$C,Partidos!$X$2,Partidos!$P:$P,"B",Partidos!$F:$F,$B$3,Partidos!$D:$D,$A22)+COUNTIFS(Partidos!$C:$C,Partidos!$X$2,Partidos!$P:$P,"B",Partidos!$F:$F,$B$3,Partidos!$E:$E,$A22)+COUNTIFS(Partidos!$C:$C,Partidos!$X$2,Partidos!$P:$P,"B",Partidos!$G:$G,$B$3,Partidos!$D:$D,$A22)+COUNTIFS(Partidos!$C:$C,Partidos!$X$2,Partidos!$P:$P,"B",Partidos!$G:$G,$B$3,Partidos!$E:$E,$A22))</f>
        <v/>
      </c>
      <c r="D22" s="2" t="str">
        <f t="shared" ref="D22:D24" si="2">IF($A22="","",B22-C22)</f>
        <v/>
      </c>
      <c r="E22" s="11" t="str">
        <f t="shared" ref="E6:E65" si="3">IF($A22="","",IF(B22=0,"",C22/B22))</f>
        <v/>
      </c>
      <c r="F22" s="13" t="str">
        <f>IF($A22="","",(IF($A22="","",SUMIFS(Partidos!$N:$N,Partidos!$C:$C,Partidos!$X$2,Partidos!$D:$D,$B$3,Partidos!$F:$F,$A22)+SUMIFS(Partidos!$N:$N,Partidos!$C:$C,Partidos!$X$2,Partidos!$D:$D,$B$3,Partidos!$G:$G,$A22)+SUMIFS(Partidos!$N:$N,Partidos!$C:$C,Partidos!$X$2,Partidos!$E:$E,$B$3,Partidos!$F:$F,$A22)+SUMIFS(Partidos!$N:$N,Partidos!$C:$C,Partidos!$X$2,Partidos!$E:$E,$B$3,Partidos!$G:$G,$A22)+SUMIFS(Partidos!$O:$O,Partidos!$C:$C,Partidos!$X$2,Partidos!$F:$F,$B$3,Partidos!$D:$D,$A22)+SUMIFS(Partidos!$O:$O,Partidos!$C:$C,Partidos!$X$2,Partidos!$F:$F,$B$3,Partidos!$E:$E,$A22)+SUMIFS(Partidos!$O:$O,Partidos!$C:$C,Partidos!$X$2,Partidos!$G:$G,$B$3,Partidos!$D:$D,$A22)+SUMIFS(Partidos!$O:$O,Partidos!$C:$C,Partidos!$X$2,Partidos!$G:$G,$B$3,Partidos!$E:$E,$A22)))&amp;"-"&amp;(IF($A22="","",SUMIFS(Partidos!$O:$O,Partidos!$C:$C,Partidos!$X$2,Partidos!$D:$D,$B$3,Partidos!$F:$F,$A22)+SUMIFS(Partidos!$O:$O,Partidos!$C:$C,Partidos!$X$2,Partidos!$D:$D,$B$3,Partidos!$G:$G,$A22)+SUMIFS(Partidos!$O:$O,Partidos!$C:$C,Partidos!$X$2,Partidos!$E:$E,$B$3,Partidos!$F:$F,$A22)+SUMIFS(Partidos!$O:$O,Partidos!$C:$C,Partidos!$X$2,Partidos!$E:$E,$B$3,Partidos!$G:$G,$A22)+SUMIFS(Partidos!$N:$N,Partidos!$C:$C,Partidos!$X$2,Partidos!$F:$F,$B$3,Partidos!$D:$D,$A22)+SUMIFS(Partidos!$N:$N,Partidos!$C:$C,Partidos!$X$2,Partidos!$F:$F,$B$3,Partidos!$E:$E,$A22)+SUMIFS(Partidos!$N:$N,Partidos!$C:$C,Partidos!$X$2,Partidos!$G:$G,$B$3,Partidos!$D:$D,$A22)+SUMIFS(Partidos!$N:$N,Partidos!$C:$C,Partidos!$X$2,Partidos!$G:$G,$B$3,Partidos!$E:$E,$A22))))</f>
        <v/>
      </c>
      <c r="G22" s="10" t="str">
        <f>IF($A22="","",(IF($A22="","",SUMIFS(Partidos!$Q:$Q,Partidos!$C:$C,Partidos!$X$2,Partidos!$D:$D,$B$3,Partidos!$F:$F,$A22)+SUMIFS(Partidos!$Q:$Q,Partidos!$C:$C,Partidos!$X$2,Partidos!$D:$D,$B$3,Partidos!$G:$G,$A22)+SUMIFS(Partidos!$Q:$Q,Partidos!$C:$C,Partidos!$X$2,Partidos!$E:$E,$B$3,Partidos!$F:$F,$A22)+SUMIFS(Partidos!$Q:$Q,Partidos!$C:$C,Partidos!$X$2,Partidos!$E:$E,$B$3,Partidos!$G:$G,$A22)+SUMIFS(Partidos!$R:$R,Partidos!$C:$C,Partidos!$X$2,Partidos!$F:$F,$B$3,Partidos!$D:$D,$A22)+SUMIFS(Partidos!$R:$R,Partidos!$C:$C,Partidos!$X$2,Partidos!$F:$F,$B$3,Partidos!$E:$E,$A22)+SUMIFS(Partidos!$R:$R,Partidos!$C:$C,Partidos!$X$2,Partidos!$G:$G,$B$3,Partidos!$D:$D,$A22)+SUMIFS(Partidos!$R:$R,Partidos!$C:$C,Partidos!$X$2,Partidos!$G:$G,$B$3,Partidos!$E:$E,$A22)))-(IF($A22="","",SUMIFS(Partidos!$R:$R,Partidos!$C:$C,Partidos!$X$2,Partidos!$D:$D,$B$3,Partidos!$F:$F,$A22)+SUMIFS(Partidos!$R:$R,Partidos!$C:$C,Partidos!$X$2,Partidos!$D:$D,$B$3,Partidos!$G:$G,$A22)+SUMIFS(Partidos!$R:$R,Partidos!$C:$C,Partidos!$X$2,Partidos!$E:$E,$B$3,Partidos!$F:$F,$A22)+SUMIFS(Partidos!$R:$R,Partidos!$C:$C,Partidos!$X$2,Partidos!$E:$E,$B$3,Partidos!$G:$G,$A22)+SUMIFS(Partidos!$Q:$Q,Partidos!$C:$C,Partidos!$X$2,Partidos!$F:$F,$B$3,Partidos!$D:$D,$A22)+SUMIFS(Partidos!$Q:$Q,Partidos!$C:$C,Partidos!$X$2,Partidos!$F:$F,$B$3,Partidos!$E:$E,$A22)+SUMIFS(Partidos!$Q:$Q,Partidos!$C:$C,Partidos!$X$2,Partidos!$G:$G,$B$3,Partidos!$D:$D,$A22)+SUMIFS(Partidos!$Q:$Q,Partidos!$C:$C,Partidos!$X$2,Partidos!$G:$G,$B$3,Partidos!$E:$E,$A22))))</f>
        <v/>
      </c>
      <c r="H22" s="2"/>
      <c r="J22" t="str">
        <f t="shared" si="0"/>
        <v/>
      </c>
      <c r="K22" t="str">
        <f t="shared" si="1"/>
        <v/>
      </c>
    </row>
    <row r="23" spans="1:11" x14ac:dyDescent="0.3">
      <c r="A23" s="6" t="str">
        <f>IF(Jugadores!B19="","",IF(Jugadores!B19=$B$3,"",Jugadores!B19))</f>
        <v/>
      </c>
      <c r="B23" s="2" t="str">
        <f>IF($A23="","",COUNTIFS(Partidos!$C:$C,Partidos!$X$2,Partidos!$D:$D,$B$3,Partidos!$F:$F,$A23)+COUNTIFS(Partidos!$C:$C,Partidos!$X$2,Partidos!$D:$D,$B$3,Partidos!$G:$G,$A23)+COUNTIFS(Partidos!$C:$C,Partidos!$X$2,Partidos!$E:$E,$B$3,Partidos!$F:$F,$A23)+COUNTIFS(Partidos!$C:$C,Partidos!$X$2,Partidos!$E:$E,$B$3,Partidos!$G:$G,$A23)+COUNTIFS(Partidos!$C:$C,Partidos!$X$2,Partidos!$F:$F,$B$3,Partidos!$D:$D,$A23)+COUNTIFS(Partidos!$C:$C,Partidos!$X$2,Partidos!$F:$F,$B$3,Partidos!$E:$E,$A23)+COUNTIFS(Partidos!$C:$C,Partidos!$X$2,Partidos!$G:$G,$B$3,Partidos!$D:$D,$A23)+COUNTIFS(Partidos!$C:$C,Partidos!$X$2,Partidos!$G:$G,$B$3,Partidos!$E:$E,$A23))</f>
        <v/>
      </c>
      <c r="C23" s="2" t="str">
        <f>IF($A23="","",COUNTIFS(Partidos!$C:$C,Partidos!$X$2,Partidos!$P:$P,"A",Partidos!$D:$D,$B$3,Partidos!$F:$F,$A23)+COUNTIFS(Partidos!$C:$C,Partidos!$X$2,Partidos!$P:$P,"A",Partidos!$D:$D,$B$3,Partidos!$G:$G,$A23)+COUNTIFS(Partidos!$C:$C,Partidos!$X$2,Partidos!$P:$P,"A",Partidos!$E:$E,$B$3,Partidos!$F:$F,$A23)+COUNTIFS(Partidos!$C:$C,Partidos!$X$2,Partidos!$P:$P,"A",Partidos!$E:$E,$B$3,Partidos!$G:$G,$A23)+COUNTIFS(Partidos!$C:$C,Partidos!$X$2,Partidos!$P:$P,"B",Partidos!$F:$F,$B$3,Partidos!$D:$D,$A23)+COUNTIFS(Partidos!$C:$C,Partidos!$X$2,Partidos!$P:$P,"B",Partidos!$F:$F,$B$3,Partidos!$E:$E,$A23)+COUNTIFS(Partidos!$C:$C,Partidos!$X$2,Partidos!$P:$P,"B",Partidos!$G:$G,$B$3,Partidos!$D:$D,$A23)+COUNTIFS(Partidos!$C:$C,Partidos!$X$2,Partidos!$P:$P,"B",Partidos!$G:$G,$B$3,Partidos!$E:$E,$A23))</f>
        <v/>
      </c>
      <c r="D23" s="2" t="str">
        <f t="shared" si="2"/>
        <v/>
      </c>
      <c r="E23" s="11" t="str">
        <f t="shared" si="3"/>
        <v/>
      </c>
      <c r="F23" s="13" t="str">
        <f>IF($A23="","",(IF($A23="","",SUMIFS(Partidos!$N:$N,Partidos!$C:$C,Partidos!$X$2,Partidos!$D:$D,$B$3,Partidos!$F:$F,$A23)+SUMIFS(Partidos!$N:$N,Partidos!$C:$C,Partidos!$X$2,Partidos!$D:$D,$B$3,Partidos!$G:$G,$A23)+SUMIFS(Partidos!$N:$N,Partidos!$C:$C,Partidos!$X$2,Partidos!$E:$E,$B$3,Partidos!$F:$F,$A23)+SUMIFS(Partidos!$N:$N,Partidos!$C:$C,Partidos!$X$2,Partidos!$E:$E,$B$3,Partidos!$G:$G,$A23)+SUMIFS(Partidos!$O:$O,Partidos!$C:$C,Partidos!$X$2,Partidos!$F:$F,$B$3,Partidos!$D:$D,$A23)+SUMIFS(Partidos!$O:$O,Partidos!$C:$C,Partidos!$X$2,Partidos!$F:$F,$B$3,Partidos!$E:$E,$A23)+SUMIFS(Partidos!$O:$O,Partidos!$C:$C,Partidos!$X$2,Partidos!$G:$G,$B$3,Partidos!$D:$D,$A23)+SUMIFS(Partidos!$O:$O,Partidos!$C:$C,Partidos!$X$2,Partidos!$G:$G,$B$3,Partidos!$E:$E,$A23)))&amp;"-"&amp;(IF($A23="","",SUMIFS(Partidos!$O:$O,Partidos!$C:$C,Partidos!$X$2,Partidos!$D:$D,$B$3,Partidos!$F:$F,$A23)+SUMIFS(Partidos!$O:$O,Partidos!$C:$C,Partidos!$X$2,Partidos!$D:$D,$B$3,Partidos!$G:$G,$A23)+SUMIFS(Partidos!$O:$O,Partidos!$C:$C,Partidos!$X$2,Partidos!$E:$E,$B$3,Partidos!$F:$F,$A23)+SUMIFS(Partidos!$O:$O,Partidos!$C:$C,Partidos!$X$2,Partidos!$E:$E,$B$3,Partidos!$G:$G,$A23)+SUMIFS(Partidos!$N:$N,Partidos!$C:$C,Partidos!$X$2,Partidos!$F:$F,$B$3,Partidos!$D:$D,$A23)+SUMIFS(Partidos!$N:$N,Partidos!$C:$C,Partidos!$X$2,Partidos!$F:$F,$B$3,Partidos!$E:$E,$A23)+SUMIFS(Partidos!$N:$N,Partidos!$C:$C,Partidos!$X$2,Partidos!$G:$G,$B$3,Partidos!$D:$D,$A23)+SUMIFS(Partidos!$N:$N,Partidos!$C:$C,Partidos!$X$2,Partidos!$G:$G,$B$3,Partidos!$E:$E,$A23))))</f>
        <v/>
      </c>
      <c r="G23" s="10" t="str">
        <f>IF($A23="","",(IF($A23="","",SUMIFS(Partidos!$Q:$Q,Partidos!$C:$C,Partidos!$X$2,Partidos!$D:$D,$B$3,Partidos!$F:$F,$A23)+SUMIFS(Partidos!$Q:$Q,Partidos!$C:$C,Partidos!$X$2,Partidos!$D:$D,$B$3,Partidos!$G:$G,$A23)+SUMIFS(Partidos!$Q:$Q,Partidos!$C:$C,Partidos!$X$2,Partidos!$E:$E,$B$3,Partidos!$F:$F,$A23)+SUMIFS(Partidos!$Q:$Q,Partidos!$C:$C,Partidos!$X$2,Partidos!$E:$E,$B$3,Partidos!$G:$G,$A23)+SUMIFS(Partidos!$R:$R,Partidos!$C:$C,Partidos!$X$2,Partidos!$F:$F,$B$3,Partidos!$D:$D,$A23)+SUMIFS(Partidos!$R:$R,Partidos!$C:$C,Partidos!$X$2,Partidos!$F:$F,$B$3,Partidos!$E:$E,$A23)+SUMIFS(Partidos!$R:$R,Partidos!$C:$C,Partidos!$X$2,Partidos!$G:$G,$B$3,Partidos!$D:$D,$A23)+SUMIFS(Partidos!$R:$R,Partidos!$C:$C,Partidos!$X$2,Partidos!$G:$G,$B$3,Partidos!$E:$E,$A23)))-(IF($A23="","",SUMIFS(Partidos!$R:$R,Partidos!$C:$C,Partidos!$X$2,Partidos!$D:$D,$B$3,Partidos!$F:$F,$A23)+SUMIFS(Partidos!$R:$R,Partidos!$C:$C,Partidos!$X$2,Partidos!$D:$D,$B$3,Partidos!$G:$G,$A23)+SUMIFS(Partidos!$R:$R,Partidos!$C:$C,Partidos!$X$2,Partidos!$E:$E,$B$3,Partidos!$F:$F,$A23)+SUMIFS(Partidos!$R:$R,Partidos!$C:$C,Partidos!$X$2,Partidos!$E:$E,$B$3,Partidos!$G:$G,$A23)+SUMIFS(Partidos!$Q:$Q,Partidos!$C:$C,Partidos!$X$2,Partidos!$F:$F,$B$3,Partidos!$D:$D,$A23)+SUMIFS(Partidos!$Q:$Q,Partidos!$C:$C,Partidos!$X$2,Partidos!$F:$F,$B$3,Partidos!$E:$E,$A23)+SUMIFS(Partidos!$Q:$Q,Partidos!$C:$C,Partidos!$X$2,Partidos!$G:$G,$B$3,Partidos!$D:$D,$A23)+SUMIFS(Partidos!$Q:$Q,Partidos!$C:$C,Partidos!$X$2,Partidos!$G:$G,$B$3,Partidos!$E:$E,$A23))))</f>
        <v/>
      </c>
      <c r="H23" s="2"/>
      <c r="J23" t="str">
        <f t="shared" si="0"/>
        <v/>
      </c>
      <c r="K23" t="str">
        <f t="shared" si="1"/>
        <v/>
      </c>
    </row>
    <row r="24" spans="1:11" x14ac:dyDescent="0.3">
      <c r="A24" s="6" t="str">
        <f>IF(Jugadores!B20="","",IF(Jugadores!B20=$B$3,"",Jugadores!B20))</f>
        <v/>
      </c>
      <c r="B24" s="2" t="str">
        <f>IF($A24="","",COUNTIFS(Partidos!$C:$C,Partidos!$X$2,Partidos!$D:$D,$B$3,Partidos!$F:$F,$A24)+COUNTIFS(Partidos!$C:$C,Partidos!$X$2,Partidos!$D:$D,$B$3,Partidos!$G:$G,$A24)+COUNTIFS(Partidos!$C:$C,Partidos!$X$2,Partidos!$E:$E,$B$3,Partidos!$F:$F,$A24)+COUNTIFS(Partidos!$C:$C,Partidos!$X$2,Partidos!$E:$E,$B$3,Partidos!$G:$G,$A24)+COUNTIFS(Partidos!$C:$C,Partidos!$X$2,Partidos!$F:$F,$B$3,Partidos!$D:$D,$A24)+COUNTIFS(Partidos!$C:$C,Partidos!$X$2,Partidos!$F:$F,$B$3,Partidos!$E:$E,$A24)+COUNTIFS(Partidos!$C:$C,Partidos!$X$2,Partidos!$G:$G,$B$3,Partidos!$D:$D,$A24)+COUNTIFS(Partidos!$C:$C,Partidos!$X$2,Partidos!$G:$G,$B$3,Partidos!$E:$E,$A24))</f>
        <v/>
      </c>
      <c r="C24" s="2" t="str">
        <f>IF($A24="","",COUNTIFS(Partidos!$C:$C,Partidos!$X$2,Partidos!$P:$P,"A",Partidos!$D:$D,$B$3,Partidos!$F:$F,$A24)+COUNTIFS(Partidos!$C:$C,Partidos!$X$2,Partidos!$P:$P,"A",Partidos!$D:$D,$B$3,Partidos!$G:$G,$A24)+COUNTIFS(Partidos!$C:$C,Partidos!$X$2,Partidos!$P:$P,"A",Partidos!$E:$E,$B$3,Partidos!$F:$F,$A24)+COUNTIFS(Partidos!$C:$C,Partidos!$X$2,Partidos!$P:$P,"A",Partidos!$E:$E,$B$3,Partidos!$G:$G,$A24)+COUNTIFS(Partidos!$C:$C,Partidos!$X$2,Partidos!$P:$P,"B",Partidos!$F:$F,$B$3,Partidos!$D:$D,$A24)+COUNTIFS(Partidos!$C:$C,Partidos!$X$2,Partidos!$P:$P,"B",Partidos!$F:$F,$B$3,Partidos!$E:$E,$A24)+COUNTIFS(Partidos!$C:$C,Partidos!$X$2,Partidos!$P:$P,"B",Partidos!$G:$G,$B$3,Partidos!$D:$D,$A24)+COUNTIFS(Partidos!$C:$C,Partidos!$X$2,Partidos!$P:$P,"B",Partidos!$G:$G,$B$3,Partidos!$E:$E,$A24))</f>
        <v/>
      </c>
      <c r="D24" s="2" t="str">
        <f t="shared" si="2"/>
        <v/>
      </c>
      <c r="E24" s="11" t="str">
        <f t="shared" si="3"/>
        <v/>
      </c>
      <c r="F24" s="13" t="str">
        <f>IF($A24="","",(IF($A24="","",SUMIFS(Partidos!$N:$N,Partidos!$C:$C,Partidos!$X$2,Partidos!$D:$D,$B$3,Partidos!$F:$F,$A24)+SUMIFS(Partidos!$N:$N,Partidos!$C:$C,Partidos!$X$2,Partidos!$D:$D,$B$3,Partidos!$G:$G,$A24)+SUMIFS(Partidos!$N:$N,Partidos!$C:$C,Partidos!$X$2,Partidos!$E:$E,$B$3,Partidos!$F:$F,$A24)+SUMIFS(Partidos!$N:$N,Partidos!$C:$C,Partidos!$X$2,Partidos!$E:$E,$B$3,Partidos!$G:$G,$A24)+SUMIFS(Partidos!$O:$O,Partidos!$C:$C,Partidos!$X$2,Partidos!$F:$F,$B$3,Partidos!$D:$D,$A24)+SUMIFS(Partidos!$O:$O,Partidos!$C:$C,Partidos!$X$2,Partidos!$F:$F,$B$3,Partidos!$E:$E,$A24)+SUMIFS(Partidos!$O:$O,Partidos!$C:$C,Partidos!$X$2,Partidos!$G:$G,$B$3,Partidos!$D:$D,$A24)+SUMIFS(Partidos!$O:$O,Partidos!$C:$C,Partidos!$X$2,Partidos!$G:$G,$B$3,Partidos!$E:$E,$A24)))&amp;"-"&amp;(IF($A24="","",SUMIFS(Partidos!$O:$O,Partidos!$C:$C,Partidos!$X$2,Partidos!$D:$D,$B$3,Partidos!$F:$F,$A24)+SUMIFS(Partidos!$O:$O,Partidos!$C:$C,Partidos!$X$2,Partidos!$D:$D,$B$3,Partidos!$G:$G,$A24)+SUMIFS(Partidos!$O:$O,Partidos!$C:$C,Partidos!$X$2,Partidos!$E:$E,$B$3,Partidos!$F:$F,$A24)+SUMIFS(Partidos!$O:$O,Partidos!$C:$C,Partidos!$X$2,Partidos!$E:$E,$B$3,Partidos!$G:$G,$A24)+SUMIFS(Partidos!$N:$N,Partidos!$C:$C,Partidos!$X$2,Partidos!$F:$F,$B$3,Partidos!$D:$D,$A24)+SUMIFS(Partidos!$N:$N,Partidos!$C:$C,Partidos!$X$2,Partidos!$F:$F,$B$3,Partidos!$E:$E,$A24)+SUMIFS(Partidos!$N:$N,Partidos!$C:$C,Partidos!$X$2,Partidos!$G:$G,$B$3,Partidos!$D:$D,$A24)+SUMIFS(Partidos!$N:$N,Partidos!$C:$C,Partidos!$X$2,Partidos!$G:$G,$B$3,Partidos!$E:$E,$A24))))</f>
        <v/>
      </c>
      <c r="G24" s="10" t="str">
        <f>IF($A24="","",(IF($A24="","",SUMIFS(Partidos!$Q:$Q,Partidos!$C:$C,Partidos!$X$2,Partidos!$D:$D,$B$3,Partidos!$F:$F,$A24)+SUMIFS(Partidos!$Q:$Q,Partidos!$C:$C,Partidos!$X$2,Partidos!$D:$D,$B$3,Partidos!$G:$G,$A24)+SUMIFS(Partidos!$Q:$Q,Partidos!$C:$C,Partidos!$X$2,Partidos!$E:$E,$B$3,Partidos!$F:$F,$A24)+SUMIFS(Partidos!$Q:$Q,Partidos!$C:$C,Partidos!$X$2,Partidos!$E:$E,$B$3,Partidos!$G:$G,$A24)+SUMIFS(Partidos!$R:$R,Partidos!$C:$C,Partidos!$X$2,Partidos!$F:$F,$B$3,Partidos!$D:$D,$A24)+SUMIFS(Partidos!$R:$R,Partidos!$C:$C,Partidos!$X$2,Partidos!$F:$F,$B$3,Partidos!$E:$E,$A24)+SUMIFS(Partidos!$R:$R,Partidos!$C:$C,Partidos!$X$2,Partidos!$G:$G,$B$3,Partidos!$D:$D,$A24)+SUMIFS(Partidos!$R:$R,Partidos!$C:$C,Partidos!$X$2,Partidos!$G:$G,$B$3,Partidos!$E:$E,$A24)))-(IF($A24="","",SUMIFS(Partidos!$R:$R,Partidos!$C:$C,Partidos!$X$2,Partidos!$D:$D,$B$3,Partidos!$F:$F,$A24)+SUMIFS(Partidos!$R:$R,Partidos!$C:$C,Partidos!$X$2,Partidos!$D:$D,$B$3,Partidos!$G:$G,$A24)+SUMIFS(Partidos!$R:$R,Partidos!$C:$C,Partidos!$X$2,Partidos!$E:$E,$B$3,Partidos!$F:$F,$A24)+SUMIFS(Partidos!$R:$R,Partidos!$C:$C,Partidos!$X$2,Partidos!$E:$E,$B$3,Partidos!$G:$G,$A24)+SUMIFS(Partidos!$Q:$Q,Partidos!$C:$C,Partidos!$X$2,Partidos!$F:$F,$B$3,Partidos!$D:$D,$A24)+SUMIFS(Partidos!$Q:$Q,Partidos!$C:$C,Partidos!$X$2,Partidos!$F:$F,$B$3,Partidos!$E:$E,$A24)+SUMIFS(Partidos!$Q:$Q,Partidos!$C:$C,Partidos!$X$2,Partidos!$G:$G,$B$3,Partidos!$D:$D,$A24)+SUMIFS(Partidos!$Q:$Q,Partidos!$C:$C,Partidos!$X$2,Partidos!$G:$G,$B$3,Partidos!$E:$E,$A24))))</f>
        <v/>
      </c>
      <c r="H24" s="2"/>
      <c r="J24" t="str">
        <f t="shared" si="0"/>
        <v/>
      </c>
      <c r="K24" t="str">
        <f t="shared" si="1"/>
        <v/>
      </c>
    </row>
    <row r="25" spans="1:11" x14ac:dyDescent="0.3">
      <c r="A25" s="6" t="str">
        <f>IF(Jugadores!B21="","",IF(Jugadores!B21=$B$3,"",Jugadores!B21))</f>
        <v/>
      </c>
      <c r="B25" s="2" t="str">
        <f>IF($A25="","",COUNTIFS(Partidos!$C:$C,Partidos!$X$2,Partidos!$D:$D,$B$3,Partidos!$F:$F,$A25)+COUNTIFS(Partidos!$C:$C,Partidos!$X$2,Partidos!$D:$D,$B$3,Partidos!$G:$G,$A25)+COUNTIFS(Partidos!$C:$C,Partidos!$X$2,Partidos!$E:$E,$B$3,Partidos!$F:$F,$A25)+COUNTIFS(Partidos!$C:$C,Partidos!$X$2,Partidos!$E:$E,$B$3,Partidos!$G:$G,$A25)+COUNTIFS(Partidos!$C:$C,Partidos!$X$2,Partidos!$F:$F,$B$3,Partidos!$D:$D,$A25)+COUNTIFS(Partidos!$C:$C,Partidos!$X$2,Partidos!$F:$F,$B$3,Partidos!$E:$E,$A25)+COUNTIFS(Partidos!$C:$C,Partidos!$X$2,Partidos!$G:$G,$B$3,Partidos!$D:$D,$A25)+COUNTIFS(Partidos!$C:$C,Partidos!$X$2,Partidos!$G:$G,$B$3,Partidos!$E:$E,$A25))</f>
        <v/>
      </c>
      <c r="C25" s="2" t="str">
        <f>IF($A25="","",COUNTIFS(Partidos!$C:$C,Partidos!$X$2,Partidos!$P:$P,"A",Partidos!$D:$D,$B$3,Partidos!$F:$F,$A25)+COUNTIFS(Partidos!$C:$C,Partidos!$X$2,Partidos!$P:$P,"A",Partidos!$D:$D,$B$3,Partidos!$G:$G,$A25)+COUNTIFS(Partidos!$C:$C,Partidos!$X$2,Partidos!$P:$P,"A",Partidos!$E:$E,$B$3,Partidos!$F:$F,$A25)+COUNTIFS(Partidos!$C:$C,Partidos!$X$2,Partidos!$P:$P,"A",Partidos!$E:$E,$B$3,Partidos!$G:$G,$A25)+COUNTIFS(Partidos!$C:$C,Partidos!$X$2,Partidos!$P:$P,"B",Partidos!$F:$F,$B$3,Partidos!$D:$D,$A25)+COUNTIFS(Partidos!$C:$C,Partidos!$X$2,Partidos!$P:$P,"B",Partidos!$F:$F,$B$3,Partidos!$E:$E,$A25)+COUNTIFS(Partidos!$C:$C,Partidos!$X$2,Partidos!$P:$P,"B",Partidos!$G:$G,$B$3,Partidos!$D:$D,$A25)+COUNTIFS(Partidos!$C:$C,Partidos!$X$2,Partidos!$P:$P,"B",Partidos!$G:$G,$B$3,Partidos!$E:$E,$A25))</f>
        <v/>
      </c>
      <c r="D25" s="2" t="str">
        <f t="shared" ref="D25:D37" si="4">IF($A25="","",B25-C25)</f>
        <v/>
      </c>
      <c r="E25" s="11" t="str">
        <f t="shared" si="3"/>
        <v/>
      </c>
      <c r="F25" s="13" t="str">
        <f>IF($A25="","",(IF($A25="","",SUMIFS(Partidos!$N:$N,Partidos!$C:$C,Partidos!$X$2,Partidos!$D:$D,$B$3,Partidos!$F:$F,$A25)+SUMIFS(Partidos!$N:$N,Partidos!$C:$C,Partidos!$X$2,Partidos!$D:$D,$B$3,Partidos!$G:$G,$A25)+SUMIFS(Partidos!$N:$N,Partidos!$C:$C,Partidos!$X$2,Partidos!$E:$E,$B$3,Partidos!$F:$F,$A25)+SUMIFS(Partidos!$N:$N,Partidos!$C:$C,Partidos!$X$2,Partidos!$E:$E,$B$3,Partidos!$G:$G,$A25)+SUMIFS(Partidos!$O:$O,Partidos!$C:$C,Partidos!$X$2,Partidos!$F:$F,$B$3,Partidos!$D:$D,$A25)+SUMIFS(Partidos!$O:$O,Partidos!$C:$C,Partidos!$X$2,Partidos!$F:$F,$B$3,Partidos!$E:$E,$A25)+SUMIFS(Partidos!$O:$O,Partidos!$C:$C,Partidos!$X$2,Partidos!$G:$G,$B$3,Partidos!$D:$D,$A25)+SUMIFS(Partidos!$O:$O,Partidos!$C:$C,Partidos!$X$2,Partidos!$G:$G,$B$3,Partidos!$E:$E,$A25)))&amp;"-"&amp;(IF($A25="","",SUMIFS(Partidos!$O:$O,Partidos!$C:$C,Partidos!$X$2,Partidos!$D:$D,$B$3,Partidos!$F:$F,$A25)+SUMIFS(Partidos!$O:$O,Partidos!$C:$C,Partidos!$X$2,Partidos!$D:$D,$B$3,Partidos!$G:$G,$A25)+SUMIFS(Partidos!$O:$O,Partidos!$C:$C,Partidos!$X$2,Partidos!$E:$E,$B$3,Partidos!$F:$F,$A25)+SUMIFS(Partidos!$O:$O,Partidos!$C:$C,Partidos!$X$2,Partidos!$E:$E,$B$3,Partidos!$G:$G,$A25)+SUMIFS(Partidos!$N:$N,Partidos!$C:$C,Partidos!$X$2,Partidos!$F:$F,$B$3,Partidos!$D:$D,$A25)+SUMIFS(Partidos!$N:$N,Partidos!$C:$C,Partidos!$X$2,Partidos!$F:$F,$B$3,Partidos!$E:$E,$A25)+SUMIFS(Partidos!$N:$N,Partidos!$C:$C,Partidos!$X$2,Partidos!$G:$G,$B$3,Partidos!$D:$D,$A25)+SUMIFS(Partidos!$N:$N,Partidos!$C:$C,Partidos!$X$2,Partidos!$G:$G,$B$3,Partidos!$E:$E,$A25))))</f>
        <v/>
      </c>
      <c r="G25" s="10" t="str">
        <f>IF($A25="","",(IF($A25="","",SUMIFS(Partidos!$Q:$Q,Partidos!$C:$C,Partidos!$X$2,Partidos!$D:$D,$B$3,Partidos!$F:$F,$A25)+SUMIFS(Partidos!$Q:$Q,Partidos!$C:$C,Partidos!$X$2,Partidos!$D:$D,$B$3,Partidos!$G:$G,$A25)+SUMIFS(Partidos!$Q:$Q,Partidos!$C:$C,Partidos!$X$2,Partidos!$E:$E,$B$3,Partidos!$F:$F,$A25)+SUMIFS(Partidos!$Q:$Q,Partidos!$C:$C,Partidos!$X$2,Partidos!$E:$E,$B$3,Partidos!$G:$G,$A25)+SUMIFS(Partidos!$R:$R,Partidos!$C:$C,Partidos!$X$2,Partidos!$F:$F,$B$3,Partidos!$D:$D,$A25)+SUMIFS(Partidos!$R:$R,Partidos!$C:$C,Partidos!$X$2,Partidos!$F:$F,$B$3,Partidos!$E:$E,$A25)+SUMIFS(Partidos!$R:$R,Partidos!$C:$C,Partidos!$X$2,Partidos!$G:$G,$B$3,Partidos!$D:$D,$A25)+SUMIFS(Partidos!$R:$R,Partidos!$C:$C,Partidos!$X$2,Partidos!$G:$G,$B$3,Partidos!$E:$E,$A25)))-(IF($A25="","",SUMIFS(Partidos!$R:$R,Partidos!$C:$C,Partidos!$X$2,Partidos!$D:$D,$B$3,Partidos!$F:$F,$A25)+SUMIFS(Partidos!$R:$R,Partidos!$C:$C,Partidos!$X$2,Partidos!$D:$D,$B$3,Partidos!$G:$G,$A25)+SUMIFS(Partidos!$R:$R,Partidos!$C:$C,Partidos!$X$2,Partidos!$E:$E,$B$3,Partidos!$F:$F,$A25)+SUMIFS(Partidos!$R:$R,Partidos!$C:$C,Partidos!$X$2,Partidos!$E:$E,$B$3,Partidos!$G:$G,$A25)+SUMIFS(Partidos!$Q:$Q,Partidos!$C:$C,Partidos!$X$2,Partidos!$F:$F,$B$3,Partidos!$D:$D,$A25)+SUMIFS(Partidos!$Q:$Q,Partidos!$C:$C,Partidos!$X$2,Partidos!$F:$F,$B$3,Partidos!$E:$E,$A25)+SUMIFS(Partidos!$Q:$Q,Partidos!$C:$C,Partidos!$X$2,Partidos!$G:$G,$B$3,Partidos!$D:$D,$A25)+SUMIFS(Partidos!$Q:$Q,Partidos!$C:$C,Partidos!$X$2,Partidos!$G:$G,$B$3,Partidos!$E:$E,$A25))))</f>
        <v/>
      </c>
      <c r="H25" s="2"/>
      <c r="J25" t="str">
        <f t="shared" si="0"/>
        <v/>
      </c>
      <c r="K25" t="str">
        <f t="shared" si="1"/>
        <v/>
      </c>
    </row>
    <row r="26" spans="1:11" x14ac:dyDescent="0.3">
      <c r="A26" s="6" t="str">
        <f>IF(Jugadores!B22="","",IF(Jugadores!B22=$B$3,"",Jugadores!B22))</f>
        <v/>
      </c>
      <c r="B26" s="2" t="str">
        <f>IF($A26="","",COUNTIFS(Partidos!$C:$C,Partidos!$X$2,Partidos!$D:$D,$B$3,Partidos!$F:$F,$A26)+COUNTIFS(Partidos!$C:$C,Partidos!$X$2,Partidos!$D:$D,$B$3,Partidos!$G:$G,$A26)+COUNTIFS(Partidos!$C:$C,Partidos!$X$2,Partidos!$E:$E,$B$3,Partidos!$F:$F,$A26)+COUNTIFS(Partidos!$C:$C,Partidos!$X$2,Partidos!$E:$E,$B$3,Partidos!$G:$G,$A26)+COUNTIFS(Partidos!$C:$C,Partidos!$X$2,Partidos!$F:$F,$B$3,Partidos!$D:$D,$A26)+COUNTIFS(Partidos!$C:$C,Partidos!$X$2,Partidos!$F:$F,$B$3,Partidos!$E:$E,$A26)+COUNTIFS(Partidos!$C:$C,Partidos!$X$2,Partidos!$G:$G,$B$3,Partidos!$D:$D,$A26)+COUNTIFS(Partidos!$C:$C,Partidos!$X$2,Partidos!$G:$G,$B$3,Partidos!$E:$E,$A26))</f>
        <v/>
      </c>
      <c r="C26" s="2" t="str">
        <f>IF($A26="","",COUNTIFS(Partidos!$C:$C,Partidos!$X$2,Partidos!$P:$P,"A",Partidos!$D:$D,$B$3,Partidos!$F:$F,$A26)+COUNTIFS(Partidos!$C:$C,Partidos!$X$2,Partidos!$P:$P,"A",Partidos!$D:$D,$B$3,Partidos!$G:$G,$A26)+COUNTIFS(Partidos!$C:$C,Partidos!$X$2,Partidos!$P:$P,"A",Partidos!$E:$E,$B$3,Partidos!$F:$F,$A26)+COUNTIFS(Partidos!$C:$C,Partidos!$X$2,Partidos!$P:$P,"A",Partidos!$E:$E,$B$3,Partidos!$G:$G,$A26)+COUNTIFS(Partidos!$C:$C,Partidos!$X$2,Partidos!$P:$P,"B",Partidos!$F:$F,$B$3,Partidos!$D:$D,$A26)+COUNTIFS(Partidos!$C:$C,Partidos!$X$2,Partidos!$P:$P,"B",Partidos!$F:$F,$B$3,Partidos!$E:$E,$A26)+COUNTIFS(Partidos!$C:$C,Partidos!$X$2,Partidos!$P:$P,"B",Partidos!$G:$G,$B$3,Partidos!$D:$D,$A26)+COUNTIFS(Partidos!$C:$C,Partidos!$X$2,Partidos!$P:$P,"B",Partidos!$G:$G,$B$3,Partidos!$E:$E,$A26))</f>
        <v/>
      </c>
      <c r="D26" s="2" t="str">
        <f t="shared" si="4"/>
        <v/>
      </c>
      <c r="E26" s="11" t="str">
        <f t="shared" si="3"/>
        <v/>
      </c>
      <c r="F26" s="13" t="str">
        <f>IF($A26="","",(IF($A26="","",SUMIFS(Partidos!$N:$N,Partidos!$C:$C,Partidos!$X$2,Partidos!$D:$D,$B$3,Partidos!$F:$F,$A26)+SUMIFS(Partidos!$N:$N,Partidos!$C:$C,Partidos!$X$2,Partidos!$D:$D,$B$3,Partidos!$G:$G,$A26)+SUMIFS(Partidos!$N:$N,Partidos!$C:$C,Partidos!$X$2,Partidos!$E:$E,$B$3,Partidos!$F:$F,$A26)+SUMIFS(Partidos!$N:$N,Partidos!$C:$C,Partidos!$X$2,Partidos!$E:$E,$B$3,Partidos!$G:$G,$A26)+SUMIFS(Partidos!$O:$O,Partidos!$C:$C,Partidos!$X$2,Partidos!$F:$F,$B$3,Partidos!$D:$D,$A26)+SUMIFS(Partidos!$O:$O,Partidos!$C:$C,Partidos!$X$2,Partidos!$F:$F,$B$3,Partidos!$E:$E,$A26)+SUMIFS(Partidos!$O:$O,Partidos!$C:$C,Partidos!$X$2,Partidos!$G:$G,$B$3,Partidos!$D:$D,$A26)+SUMIFS(Partidos!$O:$O,Partidos!$C:$C,Partidos!$X$2,Partidos!$G:$G,$B$3,Partidos!$E:$E,$A26)))&amp;"-"&amp;(IF($A26="","",SUMIFS(Partidos!$O:$O,Partidos!$C:$C,Partidos!$X$2,Partidos!$D:$D,$B$3,Partidos!$F:$F,$A26)+SUMIFS(Partidos!$O:$O,Partidos!$C:$C,Partidos!$X$2,Partidos!$D:$D,$B$3,Partidos!$G:$G,$A26)+SUMIFS(Partidos!$O:$O,Partidos!$C:$C,Partidos!$X$2,Partidos!$E:$E,$B$3,Partidos!$F:$F,$A26)+SUMIFS(Partidos!$O:$O,Partidos!$C:$C,Partidos!$X$2,Partidos!$E:$E,$B$3,Partidos!$G:$G,$A26)+SUMIFS(Partidos!$N:$N,Partidos!$C:$C,Partidos!$X$2,Partidos!$F:$F,$B$3,Partidos!$D:$D,$A26)+SUMIFS(Partidos!$N:$N,Partidos!$C:$C,Partidos!$X$2,Partidos!$F:$F,$B$3,Partidos!$E:$E,$A26)+SUMIFS(Partidos!$N:$N,Partidos!$C:$C,Partidos!$X$2,Partidos!$G:$G,$B$3,Partidos!$D:$D,$A26)+SUMIFS(Partidos!$N:$N,Partidos!$C:$C,Partidos!$X$2,Partidos!$G:$G,$B$3,Partidos!$E:$E,$A26))))</f>
        <v/>
      </c>
      <c r="G26" s="10" t="str">
        <f>IF($A26="","",(IF($A26="","",SUMIFS(Partidos!$Q:$Q,Partidos!$C:$C,Partidos!$X$2,Partidos!$D:$D,$B$3,Partidos!$F:$F,$A26)+SUMIFS(Partidos!$Q:$Q,Partidos!$C:$C,Partidos!$X$2,Partidos!$D:$D,$B$3,Partidos!$G:$G,$A26)+SUMIFS(Partidos!$Q:$Q,Partidos!$C:$C,Partidos!$X$2,Partidos!$E:$E,$B$3,Partidos!$F:$F,$A26)+SUMIFS(Partidos!$Q:$Q,Partidos!$C:$C,Partidos!$X$2,Partidos!$E:$E,$B$3,Partidos!$G:$G,$A26)+SUMIFS(Partidos!$R:$R,Partidos!$C:$C,Partidos!$X$2,Partidos!$F:$F,$B$3,Partidos!$D:$D,$A26)+SUMIFS(Partidos!$R:$R,Partidos!$C:$C,Partidos!$X$2,Partidos!$F:$F,$B$3,Partidos!$E:$E,$A26)+SUMIFS(Partidos!$R:$R,Partidos!$C:$C,Partidos!$X$2,Partidos!$G:$G,$B$3,Partidos!$D:$D,$A26)+SUMIFS(Partidos!$R:$R,Partidos!$C:$C,Partidos!$X$2,Partidos!$G:$G,$B$3,Partidos!$E:$E,$A26)))-(IF($A26="","",SUMIFS(Partidos!$R:$R,Partidos!$C:$C,Partidos!$X$2,Partidos!$D:$D,$B$3,Partidos!$F:$F,$A26)+SUMIFS(Partidos!$R:$R,Partidos!$C:$C,Partidos!$X$2,Partidos!$D:$D,$B$3,Partidos!$G:$G,$A26)+SUMIFS(Partidos!$R:$R,Partidos!$C:$C,Partidos!$X$2,Partidos!$E:$E,$B$3,Partidos!$F:$F,$A26)+SUMIFS(Partidos!$R:$R,Partidos!$C:$C,Partidos!$X$2,Partidos!$E:$E,$B$3,Partidos!$G:$G,$A26)+SUMIFS(Partidos!$Q:$Q,Partidos!$C:$C,Partidos!$X$2,Partidos!$F:$F,$B$3,Partidos!$D:$D,$A26)+SUMIFS(Partidos!$Q:$Q,Partidos!$C:$C,Partidos!$X$2,Partidos!$F:$F,$B$3,Partidos!$E:$E,$A26)+SUMIFS(Partidos!$Q:$Q,Partidos!$C:$C,Partidos!$X$2,Partidos!$G:$G,$B$3,Partidos!$D:$D,$A26)+SUMIFS(Partidos!$Q:$Q,Partidos!$C:$C,Partidos!$X$2,Partidos!$G:$G,$B$3,Partidos!$E:$E,$A26))))</f>
        <v/>
      </c>
      <c r="H26" s="2"/>
      <c r="J26" t="str">
        <f t="shared" si="0"/>
        <v/>
      </c>
      <c r="K26" t="str">
        <f t="shared" si="1"/>
        <v/>
      </c>
    </row>
    <row r="27" spans="1:11" x14ac:dyDescent="0.3">
      <c r="A27" s="6" t="str">
        <f>IF(Jugadores!B23="","",IF(Jugadores!B23=$B$3,"",Jugadores!B23))</f>
        <v/>
      </c>
      <c r="B27" s="2" t="str">
        <f>IF($A27="","",COUNTIFS(Partidos!$C:$C,Partidos!$X$2,Partidos!$D:$D,$B$3,Partidos!$F:$F,$A27)+COUNTIFS(Partidos!$C:$C,Partidos!$X$2,Partidos!$D:$D,$B$3,Partidos!$G:$G,$A27)+COUNTIFS(Partidos!$C:$C,Partidos!$X$2,Partidos!$E:$E,$B$3,Partidos!$F:$F,$A27)+COUNTIFS(Partidos!$C:$C,Partidos!$X$2,Partidos!$E:$E,$B$3,Partidos!$G:$G,$A27)+COUNTIFS(Partidos!$C:$C,Partidos!$X$2,Partidos!$F:$F,$B$3,Partidos!$D:$D,$A27)+COUNTIFS(Partidos!$C:$C,Partidos!$X$2,Partidos!$F:$F,$B$3,Partidos!$E:$E,$A27)+COUNTIFS(Partidos!$C:$C,Partidos!$X$2,Partidos!$G:$G,$B$3,Partidos!$D:$D,$A27)+COUNTIFS(Partidos!$C:$C,Partidos!$X$2,Partidos!$G:$G,$B$3,Partidos!$E:$E,$A27))</f>
        <v/>
      </c>
      <c r="C27" s="2" t="str">
        <f>IF($A27="","",COUNTIFS(Partidos!$C:$C,Partidos!$X$2,Partidos!$P:$P,"A",Partidos!$D:$D,$B$3,Partidos!$F:$F,$A27)+COUNTIFS(Partidos!$C:$C,Partidos!$X$2,Partidos!$P:$P,"A",Partidos!$D:$D,$B$3,Partidos!$G:$G,$A27)+COUNTIFS(Partidos!$C:$C,Partidos!$X$2,Partidos!$P:$P,"A",Partidos!$E:$E,$B$3,Partidos!$F:$F,$A27)+COUNTIFS(Partidos!$C:$C,Partidos!$X$2,Partidos!$P:$P,"A",Partidos!$E:$E,$B$3,Partidos!$G:$G,$A27)+COUNTIFS(Partidos!$C:$C,Partidos!$X$2,Partidos!$P:$P,"B",Partidos!$F:$F,$B$3,Partidos!$D:$D,$A27)+COUNTIFS(Partidos!$C:$C,Partidos!$X$2,Partidos!$P:$P,"B",Partidos!$F:$F,$B$3,Partidos!$E:$E,$A27)+COUNTIFS(Partidos!$C:$C,Partidos!$X$2,Partidos!$P:$P,"B",Partidos!$G:$G,$B$3,Partidos!$D:$D,$A27)+COUNTIFS(Partidos!$C:$C,Partidos!$X$2,Partidos!$P:$P,"B",Partidos!$G:$G,$B$3,Partidos!$E:$E,$A27))</f>
        <v/>
      </c>
      <c r="D27" s="2" t="str">
        <f t="shared" si="4"/>
        <v/>
      </c>
      <c r="E27" s="11" t="str">
        <f t="shared" si="3"/>
        <v/>
      </c>
      <c r="F27" s="13" t="str">
        <f>IF($A27="","",(IF($A27="","",SUMIFS(Partidos!$N:$N,Partidos!$C:$C,Partidos!$X$2,Partidos!$D:$D,$B$3,Partidos!$F:$F,$A27)+SUMIFS(Partidos!$N:$N,Partidos!$C:$C,Partidos!$X$2,Partidos!$D:$D,$B$3,Partidos!$G:$G,$A27)+SUMIFS(Partidos!$N:$N,Partidos!$C:$C,Partidos!$X$2,Partidos!$E:$E,$B$3,Partidos!$F:$F,$A27)+SUMIFS(Partidos!$N:$N,Partidos!$C:$C,Partidos!$X$2,Partidos!$E:$E,$B$3,Partidos!$G:$G,$A27)+SUMIFS(Partidos!$O:$O,Partidos!$C:$C,Partidos!$X$2,Partidos!$F:$F,$B$3,Partidos!$D:$D,$A27)+SUMIFS(Partidos!$O:$O,Partidos!$C:$C,Partidos!$X$2,Partidos!$F:$F,$B$3,Partidos!$E:$E,$A27)+SUMIFS(Partidos!$O:$O,Partidos!$C:$C,Partidos!$X$2,Partidos!$G:$G,$B$3,Partidos!$D:$D,$A27)+SUMIFS(Partidos!$O:$O,Partidos!$C:$C,Partidos!$X$2,Partidos!$G:$G,$B$3,Partidos!$E:$E,$A27)))&amp;"-"&amp;(IF($A27="","",SUMIFS(Partidos!$O:$O,Partidos!$C:$C,Partidos!$X$2,Partidos!$D:$D,$B$3,Partidos!$F:$F,$A27)+SUMIFS(Partidos!$O:$O,Partidos!$C:$C,Partidos!$X$2,Partidos!$D:$D,$B$3,Partidos!$G:$G,$A27)+SUMIFS(Partidos!$O:$O,Partidos!$C:$C,Partidos!$X$2,Partidos!$E:$E,$B$3,Partidos!$F:$F,$A27)+SUMIFS(Partidos!$O:$O,Partidos!$C:$C,Partidos!$X$2,Partidos!$E:$E,$B$3,Partidos!$G:$G,$A27)+SUMIFS(Partidos!$N:$N,Partidos!$C:$C,Partidos!$X$2,Partidos!$F:$F,$B$3,Partidos!$D:$D,$A27)+SUMIFS(Partidos!$N:$N,Partidos!$C:$C,Partidos!$X$2,Partidos!$F:$F,$B$3,Partidos!$E:$E,$A27)+SUMIFS(Partidos!$N:$N,Partidos!$C:$C,Partidos!$X$2,Partidos!$G:$G,$B$3,Partidos!$D:$D,$A27)+SUMIFS(Partidos!$N:$N,Partidos!$C:$C,Partidos!$X$2,Partidos!$G:$G,$B$3,Partidos!$E:$E,$A27))))</f>
        <v/>
      </c>
      <c r="G27" s="10" t="str">
        <f>IF($A27="","",(IF($A27="","",SUMIFS(Partidos!$Q:$Q,Partidos!$C:$C,Partidos!$X$2,Partidos!$D:$D,$B$3,Partidos!$F:$F,$A27)+SUMIFS(Partidos!$Q:$Q,Partidos!$C:$C,Partidos!$X$2,Partidos!$D:$D,$B$3,Partidos!$G:$G,$A27)+SUMIFS(Partidos!$Q:$Q,Partidos!$C:$C,Partidos!$X$2,Partidos!$E:$E,$B$3,Partidos!$F:$F,$A27)+SUMIFS(Partidos!$Q:$Q,Partidos!$C:$C,Partidos!$X$2,Partidos!$E:$E,$B$3,Partidos!$G:$G,$A27)+SUMIFS(Partidos!$R:$R,Partidos!$C:$C,Partidos!$X$2,Partidos!$F:$F,$B$3,Partidos!$D:$D,$A27)+SUMIFS(Partidos!$R:$R,Partidos!$C:$C,Partidos!$X$2,Partidos!$F:$F,$B$3,Partidos!$E:$E,$A27)+SUMIFS(Partidos!$R:$R,Partidos!$C:$C,Partidos!$X$2,Partidos!$G:$G,$B$3,Partidos!$D:$D,$A27)+SUMIFS(Partidos!$R:$R,Partidos!$C:$C,Partidos!$X$2,Partidos!$G:$G,$B$3,Partidos!$E:$E,$A27)))-(IF($A27="","",SUMIFS(Partidos!$R:$R,Partidos!$C:$C,Partidos!$X$2,Partidos!$D:$D,$B$3,Partidos!$F:$F,$A27)+SUMIFS(Partidos!$R:$R,Partidos!$C:$C,Partidos!$X$2,Partidos!$D:$D,$B$3,Partidos!$G:$G,$A27)+SUMIFS(Partidos!$R:$R,Partidos!$C:$C,Partidos!$X$2,Partidos!$E:$E,$B$3,Partidos!$F:$F,$A27)+SUMIFS(Partidos!$R:$R,Partidos!$C:$C,Partidos!$X$2,Partidos!$E:$E,$B$3,Partidos!$G:$G,$A27)+SUMIFS(Partidos!$Q:$Q,Partidos!$C:$C,Partidos!$X$2,Partidos!$F:$F,$B$3,Partidos!$D:$D,$A27)+SUMIFS(Partidos!$Q:$Q,Partidos!$C:$C,Partidos!$X$2,Partidos!$F:$F,$B$3,Partidos!$E:$E,$A27)+SUMIFS(Partidos!$Q:$Q,Partidos!$C:$C,Partidos!$X$2,Partidos!$G:$G,$B$3,Partidos!$D:$D,$A27)+SUMIFS(Partidos!$Q:$Q,Partidos!$C:$C,Partidos!$X$2,Partidos!$G:$G,$B$3,Partidos!$E:$E,$A27))))</f>
        <v/>
      </c>
      <c r="H27" s="2"/>
      <c r="J27" t="str">
        <f t="shared" si="0"/>
        <v/>
      </c>
      <c r="K27" t="str">
        <f t="shared" si="1"/>
        <v/>
      </c>
    </row>
    <row r="28" spans="1:11" x14ac:dyDescent="0.3">
      <c r="A28" s="6" t="str">
        <f>IF(Jugadores!B24="","",IF(Jugadores!B24=$B$3,"",Jugadores!B24))</f>
        <v/>
      </c>
      <c r="B28" s="2" t="str">
        <f>IF($A28="","",COUNTIFS(Partidos!$C:$C,Partidos!$X$2,Partidos!$D:$D,$B$3,Partidos!$F:$F,$A28)+COUNTIFS(Partidos!$C:$C,Partidos!$X$2,Partidos!$D:$D,$B$3,Partidos!$G:$G,$A28)+COUNTIFS(Partidos!$C:$C,Partidos!$X$2,Partidos!$E:$E,$B$3,Partidos!$F:$F,$A28)+COUNTIFS(Partidos!$C:$C,Partidos!$X$2,Partidos!$E:$E,$B$3,Partidos!$G:$G,$A28)+COUNTIFS(Partidos!$C:$C,Partidos!$X$2,Partidos!$F:$F,$B$3,Partidos!$D:$D,$A28)+COUNTIFS(Partidos!$C:$C,Partidos!$X$2,Partidos!$F:$F,$B$3,Partidos!$E:$E,$A28)+COUNTIFS(Partidos!$C:$C,Partidos!$X$2,Partidos!$G:$G,$B$3,Partidos!$D:$D,$A28)+COUNTIFS(Partidos!$C:$C,Partidos!$X$2,Partidos!$G:$G,$B$3,Partidos!$E:$E,$A28))</f>
        <v/>
      </c>
      <c r="C28" s="2" t="str">
        <f>IF($A28="","",COUNTIFS(Partidos!$C:$C,Partidos!$X$2,Partidos!$P:$P,"A",Partidos!$D:$D,$B$3,Partidos!$F:$F,$A28)+COUNTIFS(Partidos!$C:$C,Partidos!$X$2,Partidos!$P:$P,"A",Partidos!$D:$D,$B$3,Partidos!$G:$G,$A28)+COUNTIFS(Partidos!$C:$C,Partidos!$X$2,Partidos!$P:$P,"A",Partidos!$E:$E,$B$3,Partidos!$F:$F,$A28)+COUNTIFS(Partidos!$C:$C,Partidos!$X$2,Partidos!$P:$P,"A",Partidos!$E:$E,$B$3,Partidos!$G:$G,$A28)+COUNTIFS(Partidos!$C:$C,Partidos!$X$2,Partidos!$P:$P,"B",Partidos!$F:$F,$B$3,Partidos!$D:$D,$A28)+COUNTIFS(Partidos!$C:$C,Partidos!$X$2,Partidos!$P:$P,"B",Partidos!$F:$F,$B$3,Partidos!$E:$E,$A28)+COUNTIFS(Partidos!$C:$C,Partidos!$X$2,Partidos!$P:$P,"B",Partidos!$G:$G,$B$3,Partidos!$D:$D,$A28)+COUNTIFS(Partidos!$C:$C,Partidos!$X$2,Partidos!$P:$P,"B",Partidos!$G:$G,$B$3,Partidos!$E:$E,$A28))</f>
        <v/>
      </c>
      <c r="D28" s="2" t="str">
        <f t="shared" si="4"/>
        <v/>
      </c>
      <c r="E28" s="11" t="str">
        <f t="shared" si="3"/>
        <v/>
      </c>
      <c r="F28" s="13" t="str">
        <f>IF($A28="","",(IF($A28="","",SUMIFS(Partidos!$N:$N,Partidos!$C:$C,Partidos!$X$2,Partidos!$D:$D,$B$3,Partidos!$F:$F,$A28)+SUMIFS(Partidos!$N:$N,Partidos!$C:$C,Partidos!$X$2,Partidos!$D:$D,$B$3,Partidos!$G:$G,$A28)+SUMIFS(Partidos!$N:$N,Partidos!$C:$C,Partidos!$X$2,Partidos!$E:$E,$B$3,Partidos!$F:$F,$A28)+SUMIFS(Partidos!$N:$N,Partidos!$C:$C,Partidos!$X$2,Partidos!$E:$E,$B$3,Partidos!$G:$G,$A28)+SUMIFS(Partidos!$O:$O,Partidos!$C:$C,Partidos!$X$2,Partidos!$F:$F,$B$3,Partidos!$D:$D,$A28)+SUMIFS(Partidos!$O:$O,Partidos!$C:$C,Partidos!$X$2,Partidos!$F:$F,$B$3,Partidos!$E:$E,$A28)+SUMIFS(Partidos!$O:$O,Partidos!$C:$C,Partidos!$X$2,Partidos!$G:$G,$B$3,Partidos!$D:$D,$A28)+SUMIFS(Partidos!$O:$O,Partidos!$C:$C,Partidos!$X$2,Partidos!$G:$G,$B$3,Partidos!$E:$E,$A28)))&amp;"-"&amp;(IF($A28="","",SUMIFS(Partidos!$O:$O,Partidos!$C:$C,Partidos!$X$2,Partidos!$D:$D,$B$3,Partidos!$F:$F,$A28)+SUMIFS(Partidos!$O:$O,Partidos!$C:$C,Partidos!$X$2,Partidos!$D:$D,$B$3,Partidos!$G:$G,$A28)+SUMIFS(Partidos!$O:$O,Partidos!$C:$C,Partidos!$X$2,Partidos!$E:$E,$B$3,Partidos!$F:$F,$A28)+SUMIFS(Partidos!$O:$O,Partidos!$C:$C,Partidos!$X$2,Partidos!$E:$E,$B$3,Partidos!$G:$G,$A28)+SUMIFS(Partidos!$N:$N,Partidos!$C:$C,Partidos!$X$2,Partidos!$F:$F,$B$3,Partidos!$D:$D,$A28)+SUMIFS(Partidos!$N:$N,Partidos!$C:$C,Partidos!$X$2,Partidos!$F:$F,$B$3,Partidos!$E:$E,$A28)+SUMIFS(Partidos!$N:$N,Partidos!$C:$C,Partidos!$X$2,Partidos!$G:$G,$B$3,Partidos!$D:$D,$A28)+SUMIFS(Partidos!$N:$N,Partidos!$C:$C,Partidos!$X$2,Partidos!$G:$G,$B$3,Partidos!$E:$E,$A28))))</f>
        <v/>
      </c>
      <c r="G28" s="10" t="str">
        <f>IF($A28="","",(IF($A28="","",SUMIFS(Partidos!$Q:$Q,Partidos!$C:$C,Partidos!$X$2,Partidos!$D:$D,$B$3,Partidos!$F:$F,$A28)+SUMIFS(Partidos!$Q:$Q,Partidos!$C:$C,Partidos!$X$2,Partidos!$D:$D,$B$3,Partidos!$G:$G,$A28)+SUMIFS(Partidos!$Q:$Q,Partidos!$C:$C,Partidos!$X$2,Partidos!$E:$E,$B$3,Partidos!$F:$F,$A28)+SUMIFS(Partidos!$Q:$Q,Partidos!$C:$C,Partidos!$X$2,Partidos!$E:$E,$B$3,Partidos!$G:$G,$A28)+SUMIFS(Partidos!$R:$R,Partidos!$C:$C,Partidos!$X$2,Partidos!$F:$F,$B$3,Partidos!$D:$D,$A28)+SUMIFS(Partidos!$R:$R,Partidos!$C:$C,Partidos!$X$2,Partidos!$F:$F,$B$3,Partidos!$E:$E,$A28)+SUMIFS(Partidos!$R:$R,Partidos!$C:$C,Partidos!$X$2,Partidos!$G:$G,$B$3,Partidos!$D:$D,$A28)+SUMIFS(Partidos!$R:$R,Partidos!$C:$C,Partidos!$X$2,Partidos!$G:$G,$B$3,Partidos!$E:$E,$A28)))-(IF($A28="","",SUMIFS(Partidos!$R:$R,Partidos!$C:$C,Partidos!$X$2,Partidos!$D:$D,$B$3,Partidos!$F:$F,$A28)+SUMIFS(Partidos!$R:$R,Partidos!$C:$C,Partidos!$X$2,Partidos!$D:$D,$B$3,Partidos!$G:$G,$A28)+SUMIFS(Partidos!$R:$R,Partidos!$C:$C,Partidos!$X$2,Partidos!$E:$E,$B$3,Partidos!$F:$F,$A28)+SUMIFS(Partidos!$R:$R,Partidos!$C:$C,Partidos!$X$2,Partidos!$E:$E,$B$3,Partidos!$G:$G,$A28)+SUMIFS(Partidos!$Q:$Q,Partidos!$C:$C,Partidos!$X$2,Partidos!$F:$F,$B$3,Partidos!$D:$D,$A28)+SUMIFS(Partidos!$Q:$Q,Partidos!$C:$C,Partidos!$X$2,Partidos!$F:$F,$B$3,Partidos!$E:$E,$A28)+SUMIFS(Partidos!$Q:$Q,Partidos!$C:$C,Partidos!$X$2,Partidos!$G:$G,$B$3,Partidos!$D:$D,$A28)+SUMIFS(Partidos!$Q:$Q,Partidos!$C:$C,Partidos!$X$2,Partidos!$G:$G,$B$3,Partidos!$E:$E,$A28))))</f>
        <v/>
      </c>
      <c r="H28" s="2"/>
      <c r="J28" t="str">
        <f t="shared" si="0"/>
        <v/>
      </c>
      <c r="K28" t="str">
        <f t="shared" si="1"/>
        <v/>
      </c>
    </row>
    <row r="29" spans="1:11" x14ac:dyDescent="0.3">
      <c r="A29" s="6" t="str">
        <f>IF(Jugadores!B25="","",IF(Jugadores!B25=$B$3,"",Jugadores!B25))</f>
        <v/>
      </c>
      <c r="B29" s="2" t="str">
        <f>IF($A29="","",COUNTIFS(Partidos!$C:$C,Partidos!$X$2,Partidos!$D:$D,$B$3,Partidos!$F:$F,$A29)+COUNTIFS(Partidos!$C:$C,Partidos!$X$2,Partidos!$D:$D,$B$3,Partidos!$G:$G,$A29)+COUNTIFS(Partidos!$C:$C,Partidos!$X$2,Partidos!$E:$E,$B$3,Partidos!$F:$F,$A29)+COUNTIFS(Partidos!$C:$C,Partidos!$X$2,Partidos!$E:$E,$B$3,Partidos!$G:$G,$A29)+COUNTIFS(Partidos!$C:$C,Partidos!$X$2,Partidos!$F:$F,$B$3,Partidos!$D:$D,$A29)+COUNTIFS(Partidos!$C:$C,Partidos!$X$2,Partidos!$F:$F,$B$3,Partidos!$E:$E,$A29)+COUNTIFS(Partidos!$C:$C,Partidos!$X$2,Partidos!$G:$G,$B$3,Partidos!$D:$D,$A29)+COUNTIFS(Partidos!$C:$C,Partidos!$X$2,Partidos!$G:$G,$B$3,Partidos!$E:$E,$A29))</f>
        <v/>
      </c>
      <c r="C29" s="2" t="str">
        <f>IF($A29="","",COUNTIFS(Partidos!$C:$C,Partidos!$X$2,Partidos!$P:$P,"A",Partidos!$D:$D,$B$3,Partidos!$F:$F,$A29)+COUNTIFS(Partidos!$C:$C,Partidos!$X$2,Partidos!$P:$P,"A",Partidos!$D:$D,$B$3,Partidos!$G:$G,$A29)+COUNTIFS(Partidos!$C:$C,Partidos!$X$2,Partidos!$P:$P,"A",Partidos!$E:$E,$B$3,Partidos!$F:$F,$A29)+COUNTIFS(Partidos!$C:$C,Partidos!$X$2,Partidos!$P:$P,"A",Partidos!$E:$E,$B$3,Partidos!$G:$G,$A29)+COUNTIFS(Partidos!$C:$C,Partidos!$X$2,Partidos!$P:$P,"B",Partidos!$F:$F,$B$3,Partidos!$D:$D,$A29)+COUNTIFS(Partidos!$C:$C,Partidos!$X$2,Partidos!$P:$P,"B",Partidos!$F:$F,$B$3,Partidos!$E:$E,$A29)+COUNTIFS(Partidos!$C:$C,Partidos!$X$2,Partidos!$P:$P,"B",Partidos!$G:$G,$B$3,Partidos!$D:$D,$A29)+COUNTIFS(Partidos!$C:$C,Partidos!$X$2,Partidos!$P:$P,"B",Partidos!$G:$G,$B$3,Partidos!$E:$E,$A29))</f>
        <v/>
      </c>
      <c r="D29" s="2" t="str">
        <f t="shared" si="4"/>
        <v/>
      </c>
      <c r="E29" s="11" t="str">
        <f t="shared" si="3"/>
        <v/>
      </c>
      <c r="F29" s="13" t="str">
        <f>IF($A29="","",(IF($A29="","",SUMIFS(Partidos!$N:$N,Partidos!$C:$C,Partidos!$X$2,Partidos!$D:$D,$B$3,Partidos!$F:$F,$A29)+SUMIFS(Partidos!$N:$N,Partidos!$C:$C,Partidos!$X$2,Partidos!$D:$D,$B$3,Partidos!$G:$G,$A29)+SUMIFS(Partidos!$N:$N,Partidos!$C:$C,Partidos!$X$2,Partidos!$E:$E,$B$3,Partidos!$F:$F,$A29)+SUMIFS(Partidos!$N:$N,Partidos!$C:$C,Partidos!$X$2,Partidos!$E:$E,$B$3,Partidos!$G:$G,$A29)+SUMIFS(Partidos!$O:$O,Partidos!$C:$C,Partidos!$X$2,Partidos!$F:$F,$B$3,Partidos!$D:$D,$A29)+SUMIFS(Partidos!$O:$O,Partidos!$C:$C,Partidos!$X$2,Partidos!$F:$F,$B$3,Partidos!$E:$E,$A29)+SUMIFS(Partidos!$O:$O,Partidos!$C:$C,Partidos!$X$2,Partidos!$G:$G,$B$3,Partidos!$D:$D,$A29)+SUMIFS(Partidos!$O:$O,Partidos!$C:$C,Partidos!$X$2,Partidos!$G:$G,$B$3,Partidos!$E:$E,$A29)))&amp;"-"&amp;(IF($A29="","",SUMIFS(Partidos!$O:$O,Partidos!$C:$C,Partidos!$X$2,Partidos!$D:$D,$B$3,Partidos!$F:$F,$A29)+SUMIFS(Partidos!$O:$O,Partidos!$C:$C,Partidos!$X$2,Partidos!$D:$D,$B$3,Partidos!$G:$G,$A29)+SUMIFS(Partidos!$O:$O,Partidos!$C:$C,Partidos!$X$2,Partidos!$E:$E,$B$3,Partidos!$F:$F,$A29)+SUMIFS(Partidos!$O:$O,Partidos!$C:$C,Partidos!$X$2,Partidos!$E:$E,$B$3,Partidos!$G:$G,$A29)+SUMIFS(Partidos!$N:$N,Partidos!$C:$C,Partidos!$X$2,Partidos!$F:$F,$B$3,Partidos!$D:$D,$A29)+SUMIFS(Partidos!$N:$N,Partidos!$C:$C,Partidos!$X$2,Partidos!$F:$F,$B$3,Partidos!$E:$E,$A29)+SUMIFS(Partidos!$N:$N,Partidos!$C:$C,Partidos!$X$2,Partidos!$G:$G,$B$3,Partidos!$D:$D,$A29)+SUMIFS(Partidos!$N:$N,Partidos!$C:$C,Partidos!$X$2,Partidos!$G:$G,$B$3,Partidos!$E:$E,$A29))))</f>
        <v/>
      </c>
      <c r="G29" s="10" t="str">
        <f>IF($A29="","",(IF($A29="","",SUMIFS(Partidos!$Q:$Q,Partidos!$C:$C,Partidos!$X$2,Partidos!$D:$D,$B$3,Partidos!$F:$F,$A29)+SUMIFS(Partidos!$Q:$Q,Partidos!$C:$C,Partidos!$X$2,Partidos!$D:$D,$B$3,Partidos!$G:$G,$A29)+SUMIFS(Partidos!$Q:$Q,Partidos!$C:$C,Partidos!$X$2,Partidos!$E:$E,$B$3,Partidos!$F:$F,$A29)+SUMIFS(Partidos!$Q:$Q,Partidos!$C:$C,Partidos!$X$2,Partidos!$E:$E,$B$3,Partidos!$G:$G,$A29)+SUMIFS(Partidos!$R:$R,Partidos!$C:$C,Partidos!$X$2,Partidos!$F:$F,$B$3,Partidos!$D:$D,$A29)+SUMIFS(Partidos!$R:$R,Partidos!$C:$C,Partidos!$X$2,Partidos!$F:$F,$B$3,Partidos!$E:$E,$A29)+SUMIFS(Partidos!$R:$R,Partidos!$C:$C,Partidos!$X$2,Partidos!$G:$G,$B$3,Partidos!$D:$D,$A29)+SUMIFS(Partidos!$R:$R,Partidos!$C:$C,Partidos!$X$2,Partidos!$G:$G,$B$3,Partidos!$E:$E,$A29)))-(IF($A29="","",SUMIFS(Partidos!$R:$R,Partidos!$C:$C,Partidos!$X$2,Partidos!$D:$D,$B$3,Partidos!$F:$F,$A29)+SUMIFS(Partidos!$R:$R,Partidos!$C:$C,Partidos!$X$2,Partidos!$D:$D,$B$3,Partidos!$G:$G,$A29)+SUMIFS(Partidos!$R:$R,Partidos!$C:$C,Partidos!$X$2,Partidos!$E:$E,$B$3,Partidos!$F:$F,$A29)+SUMIFS(Partidos!$R:$R,Partidos!$C:$C,Partidos!$X$2,Partidos!$E:$E,$B$3,Partidos!$G:$G,$A29)+SUMIFS(Partidos!$Q:$Q,Partidos!$C:$C,Partidos!$X$2,Partidos!$F:$F,$B$3,Partidos!$D:$D,$A29)+SUMIFS(Partidos!$Q:$Q,Partidos!$C:$C,Partidos!$X$2,Partidos!$F:$F,$B$3,Partidos!$E:$E,$A29)+SUMIFS(Partidos!$Q:$Q,Partidos!$C:$C,Partidos!$X$2,Partidos!$G:$G,$B$3,Partidos!$D:$D,$A29)+SUMIFS(Partidos!$Q:$Q,Partidos!$C:$C,Partidos!$X$2,Partidos!$G:$G,$B$3,Partidos!$E:$E,$A29))))</f>
        <v/>
      </c>
      <c r="H29" s="2"/>
      <c r="J29" t="str">
        <f t="shared" si="0"/>
        <v/>
      </c>
      <c r="K29" t="str">
        <f t="shared" si="1"/>
        <v/>
      </c>
    </row>
    <row r="30" spans="1:11" x14ac:dyDescent="0.3">
      <c r="A30" s="6" t="str">
        <f>IF(Jugadores!B26="","",IF(Jugadores!B26=$B$3,"",Jugadores!B26))</f>
        <v/>
      </c>
      <c r="B30" s="2" t="str">
        <f>IF($A30="","",COUNTIFS(Partidos!$C:$C,Partidos!$X$2,Partidos!$D:$D,$B$3,Partidos!$F:$F,$A30)+COUNTIFS(Partidos!$C:$C,Partidos!$X$2,Partidos!$D:$D,$B$3,Partidos!$G:$G,$A30)+COUNTIFS(Partidos!$C:$C,Partidos!$X$2,Partidos!$E:$E,$B$3,Partidos!$F:$F,$A30)+COUNTIFS(Partidos!$C:$C,Partidos!$X$2,Partidos!$E:$E,$B$3,Partidos!$G:$G,$A30)+COUNTIFS(Partidos!$C:$C,Partidos!$X$2,Partidos!$F:$F,$B$3,Partidos!$D:$D,$A30)+COUNTIFS(Partidos!$C:$C,Partidos!$X$2,Partidos!$F:$F,$B$3,Partidos!$E:$E,$A30)+COUNTIFS(Partidos!$C:$C,Partidos!$X$2,Partidos!$G:$G,$B$3,Partidos!$D:$D,$A30)+COUNTIFS(Partidos!$C:$C,Partidos!$X$2,Partidos!$G:$G,$B$3,Partidos!$E:$E,$A30))</f>
        <v/>
      </c>
      <c r="C30" s="2" t="str">
        <f>IF($A30="","",COUNTIFS(Partidos!$C:$C,Partidos!$X$2,Partidos!$P:$P,"A",Partidos!$D:$D,$B$3,Partidos!$F:$F,$A30)+COUNTIFS(Partidos!$C:$C,Partidos!$X$2,Partidos!$P:$P,"A",Partidos!$D:$D,$B$3,Partidos!$G:$G,$A30)+COUNTIFS(Partidos!$C:$C,Partidos!$X$2,Partidos!$P:$P,"A",Partidos!$E:$E,$B$3,Partidos!$F:$F,$A30)+COUNTIFS(Partidos!$C:$C,Partidos!$X$2,Partidos!$P:$P,"A",Partidos!$E:$E,$B$3,Partidos!$G:$G,$A30)+COUNTIFS(Partidos!$C:$C,Partidos!$X$2,Partidos!$P:$P,"B",Partidos!$F:$F,$B$3,Partidos!$D:$D,$A30)+COUNTIFS(Partidos!$C:$C,Partidos!$X$2,Partidos!$P:$P,"B",Partidos!$F:$F,$B$3,Partidos!$E:$E,$A30)+COUNTIFS(Partidos!$C:$C,Partidos!$X$2,Partidos!$P:$P,"B",Partidos!$G:$G,$B$3,Partidos!$D:$D,$A30)+COUNTIFS(Partidos!$C:$C,Partidos!$X$2,Partidos!$P:$P,"B",Partidos!$G:$G,$B$3,Partidos!$E:$E,$A30))</f>
        <v/>
      </c>
      <c r="D30" s="2" t="str">
        <f t="shared" si="4"/>
        <v/>
      </c>
      <c r="E30" s="11" t="str">
        <f t="shared" si="3"/>
        <v/>
      </c>
      <c r="F30" s="13" t="str">
        <f>IF($A30="","",(IF($A30="","",SUMIFS(Partidos!$N:$N,Partidos!$C:$C,Partidos!$X$2,Partidos!$D:$D,$B$3,Partidos!$F:$F,$A30)+SUMIFS(Partidos!$N:$N,Partidos!$C:$C,Partidos!$X$2,Partidos!$D:$D,$B$3,Partidos!$G:$G,$A30)+SUMIFS(Partidos!$N:$N,Partidos!$C:$C,Partidos!$X$2,Partidos!$E:$E,$B$3,Partidos!$F:$F,$A30)+SUMIFS(Partidos!$N:$N,Partidos!$C:$C,Partidos!$X$2,Partidos!$E:$E,$B$3,Partidos!$G:$G,$A30)+SUMIFS(Partidos!$O:$O,Partidos!$C:$C,Partidos!$X$2,Partidos!$F:$F,$B$3,Partidos!$D:$D,$A30)+SUMIFS(Partidos!$O:$O,Partidos!$C:$C,Partidos!$X$2,Partidos!$F:$F,$B$3,Partidos!$E:$E,$A30)+SUMIFS(Partidos!$O:$O,Partidos!$C:$C,Partidos!$X$2,Partidos!$G:$G,$B$3,Partidos!$D:$D,$A30)+SUMIFS(Partidos!$O:$O,Partidos!$C:$C,Partidos!$X$2,Partidos!$G:$G,$B$3,Partidos!$E:$E,$A30)))&amp;"-"&amp;(IF($A30="","",SUMIFS(Partidos!$O:$O,Partidos!$C:$C,Partidos!$X$2,Partidos!$D:$D,$B$3,Partidos!$F:$F,$A30)+SUMIFS(Partidos!$O:$O,Partidos!$C:$C,Partidos!$X$2,Partidos!$D:$D,$B$3,Partidos!$G:$G,$A30)+SUMIFS(Partidos!$O:$O,Partidos!$C:$C,Partidos!$X$2,Partidos!$E:$E,$B$3,Partidos!$F:$F,$A30)+SUMIFS(Partidos!$O:$O,Partidos!$C:$C,Partidos!$X$2,Partidos!$E:$E,$B$3,Partidos!$G:$G,$A30)+SUMIFS(Partidos!$N:$N,Partidos!$C:$C,Partidos!$X$2,Partidos!$F:$F,$B$3,Partidos!$D:$D,$A30)+SUMIFS(Partidos!$N:$N,Partidos!$C:$C,Partidos!$X$2,Partidos!$F:$F,$B$3,Partidos!$E:$E,$A30)+SUMIFS(Partidos!$N:$N,Partidos!$C:$C,Partidos!$X$2,Partidos!$G:$G,$B$3,Partidos!$D:$D,$A30)+SUMIFS(Partidos!$N:$N,Partidos!$C:$C,Partidos!$X$2,Partidos!$G:$G,$B$3,Partidos!$E:$E,$A30))))</f>
        <v/>
      </c>
      <c r="G30" s="10" t="str">
        <f>IF($A30="","",(IF($A30="","",SUMIFS(Partidos!$Q:$Q,Partidos!$C:$C,Partidos!$X$2,Partidos!$D:$D,$B$3,Partidos!$F:$F,$A30)+SUMIFS(Partidos!$Q:$Q,Partidos!$C:$C,Partidos!$X$2,Partidos!$D:$D,$B$3,Partidos!$G:$G,$A30)+SUMIFS(Partidos!$Q:$Q,Partidos!$C:$C,Partidos!$X$2,Partidos!$E:$E,$B$3,Partidos!$F:$F,$A30)+SUMIFS(Partidos!$Q:$Q,Partidos!$C:$C,Partidos!$X$2,Partidos!$E:$E,$B$3,Partidos!$G:$G,$A30)+SUMIFS(Partidos!$R:$R,Partidos!$C:$C,Partidos!$X$2,Partidos!$F:$F,$B$3,Partidos!$D:$D,$A30)+SUMIFS(Partidos!$R:$R,Partidos!$C:$C,Partidos!$X$2,Partidos!$F:$F,$B$3,Partidos!$E:$E,$A30)+SUMIFS(Partidos!$R:$R,Partidos!$C:$C,Partidos!$X$2,Partidos!$G:$G,$B$3,Partidos!$D:$D,$A30)+SUMIFS(Partidos!$R:$R,Partidos!$C:$C,Partidos!$X$2,Partidos!$G:$G,$B$3,Partidos!$E:$E,$A30)))-(IF($A30="","",SUMIFS(Partidos!$R:$R,Partidos!$C:$C,Partidos!$X$2,Partidos!$D:$D,$B$3,Partidos!$F:$F,$A30)+SUMIFS(Partidos!$R:$R,Partidos!$C:$C,Partidos!$X$2,Partidos!$D:$D,$B$3,Partidos!$G:$G,$A30)+SUMIFS(Partidos!$R:$R,Partidos!$C:$C,Partidos!$X$2,Partidos!$E:$E,$B$3,Partidos!$F:$F,$A30)+SUMIFS(Partidos!$R:$R,Partidos!$C:$C,Partidos!$X$2,Partidos!$E:$E,$B$3,Partidos!$G:$G,$A30)+SUMIFS(Partidos!$Q:$Q,Partidos!$C:$C,Partidos!$X$2,Partidos!$F:$F,$B$3,Partidos!$D:$D,$A30)+SUMIFS(Partidos!$Q:$Q,Partidos!$C:$C,Partidos!$X$2,Partidos!$F:$F,$B$3,Partidos!$E:$E,$A30)+SUMIFS(Partidos!$Q:$Q,Partidos!$C:$C,Partidos!$X$2,Partidos!$G:$G,$B$3,Partidos!$D:$D,$A30)+SUMIFS(Partidos!$Q:$Q,Partidos!$C:$C,Partidos!$X$2,Partidos!$G:$G,$B$3,Partidos!$E:$E,$A30))))</f>
        <v/>
      </c>
      <c r="H30" s="2"/>
      <c r="J30" t="str">
        <f t="shared" si="0"/>
        <v/>
      </c>
      <c r="K30" t="str">
        <f t="shared" si="1"/>
        <v/>
      </c>
    </row>
    <row r="31" spans="1:11" x14ac:dyDescent="0.3">
      <c r="A31" s="6" t="str">
        <f>IF(Jugadores!B27="","",IF(Jugadores!B27=$B$3,"",Jugadores!B27))</f>
        <v/>
      </c>
      <c r="B31" s="2" t="str">
        <f>IF($A31="","",COUNTIFS(Partidos!$C:$C,Partidos!$X$2,Partidos!$D:$D,$B$3,Partidos!$F:$F,$A31)+COUNTIFS(Partidos!$C:$C,Partidos!$X$2,Partidos!$D:$D,$B$3,Partidos!$G:$G,$A31)+COUNTIFS(Partidos!$C:$C,Partidos!$X$2,Partidos!$E:$E,$B$3,Partidos!$F:$F,$A31)+COUNTIFS(Partidos!$C:$C,Partidos!$X$2,Partidos!$E:$E,$B$3,Partidos!$G:$G,$A31)+COUNTIFS(Partidos!$C:$C,Partidos!$X$2,Partidos!$F:$F,$B$3,Partidos!$D:$D,$A31)+COUNTIFS(Partidos!$C:$C,Partidos!$X$2,Partidos!$F:$F,$B$3,Partidos!$E:$E,$A31)+COUNTIFS(Partidos!$C:$C,Partidos!$X$2,Partidos!$G:$G,$B$3,Partidos!$D:$D,$A31)+COUNTIFS(Partidos!$C:$C,Partidos!$X$2,Partidos!$G:$G,$B$3,Partidos!$E:$E,$A31))</f>
        <v/>
      </c>
      <c r="C31" s="2" t="str">
        <f>IF($A31="","",COUNTIFS(Partidos!$C:$C,Partidos!$X$2,Partidos!$P:$P,"A",Partidos!$D:$D,$B$3,Partidos!$F:$F,$A31)+COUNTIFS(Partidos!$C:$C,Partidos!$X$2,Partidos!$P:$P,"A",Partidos!$D:$D,$B$3,Partidos!$G:$G,$A31)+COUNTIFS(Partidos!$C:$C,Partidos!$X$2,Partidos!$P:$P,"A",Partidos!$E:$E,$B$3,Partidos!$F:$F,$A31)+COUNTIFS(Partidos!$C:$C,Partidos!$X$2,Partidos!$P:$P,"A",Partidos!$E:$E,$B$3,Partidos!$G:$G,$A31)+COUNTIFS(Partidos!$C:$C,Partidos!$X$2,Partidos!$P:$P,"B",Partidos!$F:$F,$B$3,Partidos!$D:$D,$A31)+COUNTIFS(Partidos!$C:$C,Partidos!$X$2,Partidos!$P:$P,"B",Partidos!$F:$F,$B$3,Partidos!$E:$E,$A31)+COUNTIFS(Partidos!$C:$C,Partidos!$X$2,Partidos!$P:$P,"B",Partidos!$G:$G,$B$3,Partidos!$D:$D,$A31)+COUNTIFS(Partidos!$C:$C,Partidos!$X$2,Partidos!$P:$P,"B",Partidos!$G:$G,$B$3,Partidos!$E:$E,$A31))</f>
        <v/>
      </c>
      <c r="D31" s="2" t="str">
        <f t="shared" si="4"/>
        <v/>
      </c>
      <c r="E31" s="11" t="str">
        <f t="shared" si="3"/>
        <v/>
      </c>
      <c r="F31" s="13" t="str">
        <f>IF($A31="","",(IF($A31="","",SUMIFS(Partidos!$N:$N,Partidos!$C:$C,Partidos!$X$2,Partidos!$D:$D,$B$3,Partidos!$F:$F,$A31)+SUMIFS(Partidos!$N:$N,Partidos!$C:$C,Partidos!$X$2,Partidos!$D:$D,$B$3,Partidos!$G:$G,$A31)+SUMIFS(Partidos!$N:$N,Partidos!$C:$C,Partidos!$X$2,Partidos!$E:$E,$B$3,Partidos!$F:$F,$A31)+SUMIFS(Partidos!$N:$N,Partidos!$C:$C,Partidos!$X$2,Partidos!$E:$E,$B$3,Partidos!$G:$G,$A31)+SUMIFS(Partidos!$O:$O,Partidos!$C:$C,Partidos!$X$2,Partidos!$F:$F,$B$3,Partidos!$D:$D,$A31)+SUMIFS(Partidos!$O:$O,Partidos!$C:$C,Partidos!$X$2,Partidos!$F:$F,$B$3,Partidos!$E:$E,$A31)+SUMIFS(Partidos!$O:$O,Partidos!$C:$C,Partidos!$X$2,Partidos!$G:$G,$B$3,Partidos!$D:$D,$A31)+SUMIFS(Partidos!$O:$O,Partidos!$C:$C,Partidos!$X$2,Partidos!$G:$G,$B$3,Partidos!$E:$E,$A31)))&amp;"-"&amp;(IF($A31="","",SUMIFS(Partidos!$O:$O,Partidos!$C:$C,Partidos!$X$2,Partidos!$D:$D,$B$3,Partidos!$F:$F,$A31)+SUMIFS(Partidos!$O:$O,Partidos!$C:$C,Partidos!$X$2,Partidos!$D:$D,$B$3,Partidos!$G:$G,$A31)+SUMIFS(Partidos!$O:$O,Partidos!$C:$C,Partidos!$X$2,Partidos!$E:$E,$B$3,Partidos!$F:$F,$A31)+SUMIFS(Partidos!$O:$O,Partidos!$C:$C,Partidos!$X$2,Partidos!$E:$E,$B$3,Partidos!$G:$G,$A31)+SUMIFS(Partidos!$N:$N,Partidos!$C:$C,Partidos!$X$2,Partidos!$F:$F,$B$3,Partidos!$D:$D,$A31)+SUMIFS(Partidos!$N:$N,Partidos!$C:$C,Partidos!$X$2,Partidos!$F:$F,$B$3,Partidos!$E:$E,$A31)+SUMIFS(Partidos!$N:$N,Partidos!$C:$C,Partidos!$X$2,Partidos!$G:$G,$B$3,Partidos!$D:$D,$A31)+SUMIFS(Partidos!$N:$N,Partidos!$C:$C,Partidos!$X$2,Partidos!$G:$G,$B$3,Partidos!$E:$E,$A31))))</f>
        <v/>
      </c>
      <c r="G31" s="10" t="str">
        <f>IF($A31="","",(IF($A31="","",SUMIFS(Partidos!$Q:$Q,Partidos!$C:$C,Partidos!$X$2,Partidos!$D:$D,$B$3,Partidos!$F:$F,$A31)+SUMIFS(Partidos!$Q:$Q,Partidos!$C:$C,Partidos!$X$2,Partidos!$D:$D,$B$3,Partidos!$G:$G,$A31)+SUMIFS(Partidos!$Q:$Q,Partidos!$C:$C,Partidos!$X$2,Partidos!$E:$E,$B$3,Partidos!$F:$F,$A31)+SUMIFS(Partidos!$Q:$Q,Partidos!$C:$C,Partidos!$X$2,Partidos!$E:$E,$B$3,Partidos!$G:$G,$A31)+SUMIFS(Partidos!$R:$R,Partidos!$C:$C,Partidos!$X$2,Partidos!$F:$F,$B$3,Partidos!$D:$D,$A31)+SUMIFS(Partidos!$R:$R,Partidos!$C:$C,Partidos!$X$2,Partidos!$F:$F,$B$3,Partidos!$E:$E,$A31)+SUMIFS(Partidos!$R:$R,Partidos!$C:$C,Partidos!$X$2,Partidos!$G:$G,$B$3,Partidos!$D:$D,$A31)+SUMIFS(Partidos!$R:$R,Partidos!$C:$C,Partidos!$X$2,Partidos!$G:$G,$B$3,Partidos!$E:$E,$A31)))-(IF($A31="","",SUMIFS(Partidos!$R:$R,Partidos!$C:$C,Partidos!$X$2,Partidos!$D:$D,$B$3,Partidos!$F:$F,$A31)+SUMIFS(Partidos!$R:$R,Partidos!$C:$C,Partidos!$X$2,Partidos!$D:$D,$B$3,Partidos!$G:$G,$A31)+SUMIFS(Partidos!$R:$R,Partidos!$C:$C,Partidos!$X$2,Partidos!$E:$E,$B$3,Partidos!$F:$F,$A31)+SUMIFS(Partidos!$R:$R,Partidos!$C:$C,Partidos!$X$2,Partidos!$E:$E,$B$3,Partidos!$G:$G,$A31)+SUMIFS(Partidos!$Q:$Q,Partidos!$C:$C,Partidos!$X$2,Partidos!$F:$F,$B$3,Partidos!$D:$D,$A31)+SUMIFS(Partidos!$Q:$Q,Partidos!$C:$C,Partidos!$X$2,Partidos!$F:$F,$B$3,Partidos!$E:$E,$A31)+SUMIFS(Partidos!$Q:$Q,Partidos!$C:$C,Partidos!$X$2,Partidos!$G:$G,$B$3,Partidos!$D:$D,$A31)+SUMIFS(Partidos!$Q:$Q,Partidos!$C:$C,Partidos!$X$2,Partidos!$G:$G,$B$3,Partidos!$E:$E,$A31))))</f>
        <v/>
      </c>
      <c r="H31" s="2"/>
      <c r="J31" t="str">
        <f t="shared" si="0"/>
        <v/>
      </c>
      <c r="K31" t="str">
        <f t="shared" si="1"/>
        <v/>
      </c>
    </row>
    <row r="32" spans="1:11" x14ac:dyDescent="0.3">
      <c r="A32" s="6" t="str">
        <f>IF(Jugadores!B28="","",IF(Jugadores!B28=$B$3,"",Jugadores!B28))</f>
        <v/>
      </c>
      <c r="B32" s="2" t="str">
        <f>IF($A32="","",COUNTIFS(Partidos!$C:$C,Partidos!$X$2,Partidos!$D:$D,$B$3,Partidos!$F:$F,$A32)+COUNTIFS(Partidos!$C:$C,Partidos!$X$2,Partidos!$D:$D,$B$3,Partidos!$G:$G,$A32)+COUNTIFS(Partidos!$C:$C,Partidos!$X$2,Partidos!$E:$E,$B$3,Partidos!$F:$F,$A32)+COUNTIFS(Partidos!$C:$C,Partidos!$X$2,Partidos!$E:$E,$B$3,Partidos!$G:$G,$A32)+COUNTIFS(Partidos!$C:$C,Partidos!$X$2,Partidos!$F:$F,$B$3,Partidos!$D:$D,$A32)+COUNTIFS(Partidos!$C:$C,Partidos!$X$2,Partidos!$F:$F,$B$3,Partidos!$E:$E,$A32)+COUNTIFS(Partidos!$C:$C,Partidos!$X$2,Partidos!$G:$G,$B$3,Partidos!$D:$D,$A32)+COUNTIFS(Partidos!$C:$C,Partidos!$X$2,Partidos!$G:$G,$B$3,Partidos!$E:$E,$A32))</f>
        <v/>
      </c>
      <c r="C32" s="2" t="str">
        <f>IF($A32="","",COUNTIFS(Partidos!$C:$C,Partidos!$X$2,Partidos!$P:$P,"A",Partidos!$D:$D,$B$3,Partidos!$F:$F,$A32)+COUNTIFS(Partidos!$C:$C,Partidos!$X$2,Partidos!$P:$P,"A",Partidos!$D:$D,$B$3,Partidos!$G:$G,$A32)+COUNTIFS(Partidos!$C:$C,Partidos!$X$2,Partidos!$P:$P,"A",Partidos!$E:$E,$B$3,Partidos!$F:$F,$A32)+COUNTIFS(Partidos!$C:$C,Partidos!$X$2,Partidos!$P:$P,"A",Partidos!$E:$E,$B$3,Partidos!$G:$G,$A32)+COUNTIFS(Partidos!$C:$C,Partidos!$X$2,Partidos!$P:$P,"B",Partidos!$F:$F,$B$3,Partidos!$D:$D,$A32)+COUNTIFS(Partidos!$C:$C,Partidos!$X$2,Partidos!$P:$P,"B",Partidos!$F:$F,$B$3,Partidos!$E:$E,$A32)+COUNTIFS(Partidos!$C:$C,Partidos!$X$2,Partidos!$P:$P,"B",Partidos!$G:$G,$B$3,Partidos!$D:$D,$A32)+COUNTIFS(Partidos!$C:$C,Partidos!$X$2,Partidos!$P:$P,"B",Partidos!$G:$G,$B$3,Partidos!$E:$E,$A32))</f>
        <v/>
      </c>
      <c r="D32" s="2" t="str">
        <f t="shared" si="4"/>
        <v/>
      </c>
      <c r="E32" s="11" t="str">
        <f t="shared" si="3"/>
        <v/>
      </c>
      <c r="F32" s="13" t="str">
        <f>IF($A32="","",(IF($A32="","",SUMIFS(Partidos!$N:$N,Partidos!$C:$C,Partidos!$X$2,Partidos!$D:$D,$B$3,Partidos!$F:$F,$A32)+SUMIFS(Partidos!$N:$N,Partidos!$C:$C,Partidos!$X$2,Partidos!$D:$D,$B$3,Partidos!$G:$G,$A32)+SUMIFS(Partidos!$N:$N,Partidos!$C:$C,Partidos!$X$2,Partidos!$E:$E,$B$3,Partidos!$F:$F,$A32)+SUMIFS(Partidos!$N:$N,Partidos!$C:$C,Partidos!$X$2,Partidos!$E:$E,$B$3,Partidos!$G:$G,$A32)+SUMIFS(Partidos!$O:$O,Partidos!$C:$C,Partidos!$X$2,Partidos!$F:$F,$B$3,Partidos!$D:$D,$A32)+SUMIFS(Partidos!$O:$O,Partidos!$C:$C,Partidos!$X$2,Partidos!$F:$F,$B$3,Partidos!$E:$E,$A32)+SUMIFS(Partidos!$O:$O,Partidos!$C:$C,Partidos!$X$2,Partidos!$G:$G,$B$3,Partidos!$D:$D,$A32)+SUMIFS(Partidos!$O:$O,Partidos!$C:$C,Partidos!$X$2,Partidos!$G:$G,$B$3,Partidos!$E:$E,$A32)))&amp;"-"&amp;(IF($A32="","",SUMIFS(Partidos!$O:$O,Partidos!$C:$C,Partidos!$X$2,Partidos!$D:$D,$B$3,Partidos!$F:$F,$A32)+SUMIFS(Partidos!$O:$O,Partidos!$C:$C,Partidos!$X$2,Partidos!$D:$D,$B$3,Partidos!$G:$G,$A32)+SUMIFS(Partidos!$O:$O,Partidos!$C:$C,Partidos!$X$2,Partidos!$E:$E,$B$3,Partidos!$F:$F,$A32)+SUMIFS(Partidos!$O:$O,Partidos!$C:$C,Partidos!$X$2,Partidos!$E:$E,$B$3,Partidos!$G:$G,$A32)+SUMIFS(Partidos!$N:$N,Partidos!$C:$C,Partidos!$X$2,Partidos!$F:$F,$B$3,Partidos!$D:$D,$A32)+SUMIFS(Partidos!$N:$N,Partidos!$C:$C,Partidos!$X$2,Partidos!$F:$F,$B$3,Partidos!$E:$E,$A32)+SUMIFS(Partidos!$N:$N,Partidos!$C:$C,Partidos!$X$2,Partidos!$G:$G,$B$3,Partidos!$D:$D,$A32)+SUMIFS(Partidos!$N:$N,Partidos!$C:$C,Partidos!$X$2,Partidos!$G:$G,$B$3,Partidos!$E:$E,$A32))))</f>
        <v/>
      </c>
      <c r="G32" s="10" t="str">
        <f>IF($A32="","",(IF($A32="","",SUMIFS(Partidos!$Q:$Q,Partidos!$C:$C,Partidos!$X$2,Partidos!$D:$D,$B$3,Partidos!$F:$F,$A32)+SUMIFS(Partidos!$Q:$Q,Partidos!$C:$C,Partidos!$X$2,Partidos!$D:$D,$B$3,Partidos!$G:$G,$A32)+SUMIFS(Partidos!$Q:$Q,Partidos!$C:$C,Partidos!$X$2,Partidos!$E:$E,$B$3,Partidos!$F:$F,$A32)+SUMIFS(Partidos!$Q:$Q,Partidos!$C:$C,Partidos!$X$2,Partidos!$E:$E,$B$3,Partidos!$G:$G,$A32)+SUMIFS(Partidos!$R:$R,Partidos!$C:$C,Partidos!$X$2,Partidos!$F:$F,$B$3,Partidos!$D:$D,$A32)+SUMIFS(Partidos!$R:$R,Partidos!$C:$C,Partidos!$X$2,Partidos!$F:$F,$B$3,Partidos!$E:$E,$A32)+SUMIFS(Partidos!$R:$R,Partidos!$C:$C,Partidos!$X$2,Partidos!$G:$G,$B$3,Partidos!$D:$D,$A32)+SUMIFS(Partidos!$R:$R,Partidos!$C:$C,Partidos!$X$2,Partidos!$G:$G,$B$3,Partidos!$E:$E,$A32)))-(IF($A32="","",SUMIFS(Partidos!$R:$R,Partidos!$C:$C,Partidos!$X$2,Partidos!$D:$D,$B$3,Partidos!$F:$F,$A32)+SUMIFS(Partidos!$R:$R,Partidos!$C:$C,Partidos!$X$2,Partidos!$D:$D,$B$3,Partidos!$G:$G,$A32)+SUMIFS(Partidos!$R:$R,Partidos!$C:$C,Partidos!$X$2,Partidos!$E:$E,$B$3,Partidos!$F:$F,$A32)+SUMIFS(Partidos!$R:$R,Partidos!$C:$C,Partidos!$X$2,Partidos!$E:$E,$B$3,Partidos!$G:$G,$A32)+SUMIFS(Partidos!$Q:$Q,Partidos!$C:$C,Partidos!$X$2,Partidos!$F:$F,$B$3,Partidos!$D:$D,$A32)+SUMIFS(Partidos!$Q:$Q,Partidos!$C:$C,Partidos!$X$2,Partidos!$F:$F,$B$3,Partidos!$E:$E,$A32)+SUMIFS(Partidos!$Q:$Q,Partidos!$C:$C,Partidos!$X$2,Partidos!$G:$G,$B$3,Partidos!$D:$D,$A32)+SUMIFS(Partidos!$Q:$Q,Partidos!$C:$C,Partidos!$X$2,Partidos!$G:$G,$B$3,Partidos!$E:$E,$A32))))</f>
        <v/>
      </c>
      <c r="H32" s="2"/>
      <c r="J32" t="str">
        <f t="shared" si="0"/>
        <v/>
      </c>
      <c r="K32" t="str">
        <f t="shared" si="1"/>
        <v/>
      </c>
    </row>
    <row r="33" spans="1:11" x14ac:dyDescent="0.3">
      <c r="A33" s="6" t="str">
        <f>IF(Jugadores!B29="","",IF(Jugadores!B29=$B$3,"",Jugadores!B29))</f>
        <v/>
      </c>
      <c r="B33" s="2" t="str">
        <f>IF($A33="","",COUNTIFS(Partidos!$C:$C,Partidos!$X$2,Partidos!$D:$D,$B$3,Partidos!$F:$F,$A33)+COUNTIFS(Partidos!$C:$C,Partidos!$X$2,Partidos!$D:$D,$B$3,Partidos!$G:$G,$A33)+COUNTIFS(Partidos!$C:$C,Partidos!$X$2,Partidos!$E:$E,$B$3,Partidos!$F:$F,$A33)+COUNTIFS(Partidos!$C:$C,Partidos!$X$2,Partidos!$E:$E,$B$3,Partidos!$G:$G,$A33)+COUNTIFS(Partidos!$C:$C,Partidos!$X$2,Partidos!$F:$F,$B$3,Partidos!$D:$D,$A33)+COUNTIFS(Partidos!$C:$C,Partidos!$X$2,Partidos!$F:$F,$B$3,Partidos!$E:$E,$A33)+COUNTIFS(Partidos!$C:$C,Partidos!$X$2,Partidos!$G:$G,$B$3,Partidos!$D:$D,$A33)+COUNTIFS(Partidos!$C:$C,Partidos!$X$2,Partidos!$G:$G,$B$3,Partidos!$E:$E,$A33))</f>
        <v/>
      </c>
      <c r="C33" s="2" t="str">
        <f>IF($A33="","",COUNTIFS(Partidos!$C:$C,Partidos!$X$2,Partidos!$P:$P,"A",Partidos!$D:$D,$B$3,Partidos!$F:$F,$A33)+COUNTIFS(Partidos!$C:$C,Partidos!$X$2,Partidos!$P:$P,"A",Partidos!$D:$D,$B$3,Partidos!$G:$G,$A33)+COUNTIFS(Partidos!$C:$C,Partidos!$X$2,Partidos!$P:$P,"A",Partidos!$E:$E,$B$3,Partidos!$F:$F,$A33)+COUNTIFS(Partidos!$C:$C,Partidos!$X$2,Partidos!$P:$P,"A",Partidos!$E:$E,$B$3,Partidos!$G:$G,$A33)+COUNTIFS(Partidos!$C:$C,Partidos!$X$2,Partidos!$P:$P,"B",Partidos!$F:$F,$B$3,Partidos!$D:$D,$A33)+COUNTIFS(Partidos!$C:$C,Partidos!$X$2,Partidos!$P:$P,"B",Partidos!$F:$F,$B$3,Partidos!$E:$E,$A33)+COUNTIFS(Partidos!$C:$C,Partidos!$X$2,Partidos!$P:$P,"B",Partidos!$G:$G,$B$3,Partidos!$D:$D,$A33)+COUNTIFS(Partidos!$C:$C,Partidos!$X$2,Partidos!$P:$P,"B",Partidos!$G:$G,$B$3,Partidos!$E:$E,$A33))</f>
        <v/>
      </c>
      <c r="D33" s="2" t="str">
        <f t="shared" si="4"/>
        <v/>
      </c>
      <c r="E33" s="11" t="str">
        <f t="shared" si="3"/>
        <v/>
      </c>
      <c r="F33" s="13" t="str">
        <f>IF($A33="","",(IF($A33="","",SUMIFS(Partidos!$N:$N,Partidos!$C:$C,Partidos!$X$2,Partidos!$D:$D,$B$3,Partidos!$F:$F,$A33)+SUMIFS(Partidos!$N:$N,Partidos!$C:$C,Partidos!$X$2,Partidos!$D:$D,$B$3,Partidos!$G:$G,$A33)+SUMIFS(Partidos!$N:$N,Partidos!$C:$C,Partidos!$X$2,Partidos!$E:$E,$B$3,Partidos!$F:$F,$A33)+SUMIFS(Partidos!$N:$N,Partidos!$C:$C,Partidos!$X$2,Partidos!$E:$E,$B$3,Partidos!$G:$G,$A33)+SUMIFS(Partidos!$O:$O,Partidos!$C:$C,Partidos!$X$2,Partidos!$F:$F,$B$3,Partidos!$D:$D,$A33)+SUMIFS(Partidos!$O:$O,Partidos!$C:$C,Partidos!$X$2,Partidos!$F:$F,$B$3,Partidos!$E:$E,$A33)+SUMIFS(Partidos!$O:$O,Partidos!$C:$C,Partidos!$X$2,Partidos!$G:$G,$B$3,Partidos!$D:$D,$A33)+SUMIFS(Partidos!$O:$O,Partidos!$C:$C,Partidos!$X$2,Partidos!$G:$G,$B$3,Partidos!$E:$E,$A33)))&amp;"-"&amp;(IF($A33="","",SUMIFS(Partidos!$O:$O,Partidos!$C:$C,Partidos!$X$2,Partidos!$D:$D,$B$3,Partidos!$F:$F,$A33)+SUMIFS(Partidos!$O:$O,Partidos!$C:$C,Partidos!$X$2,Partidos!$D:$D,$B$3,Partidos!$G:$G,$A33)+SUMIFS(Partidos!$O:$O,Partidos!$C:$C,Partidos!$X$2,Partidos!$E:$E,$B$3,Partidos!$F:$F,$A33)+SUMIFS(Partidos!$O:$O,Partidos!$C:$C,Partidos!$X$2,Partidos!$E:$E,$B$3,Partidos!$G:$G,$A33)+SUMIFS(Partidos!$N:$N,Partidos!$C:$C,Partidos!$X$2,Partidos!$F:$F,$B$3,Partidos!$D:$D,$A33)+SUMIFS(Partidos!$N:$N,Partidos!$C:$C,Partidos!$X$2,Partidos!$F:$F,$B$3,Partidos!$E:$E,$A33)+SUMIFS(Partidos!$N:$N,Partidos!$C:$C,Partidos!$X$2,Partidos!$G:$G,$B$3,Partidos!$D:$D,$A33)+SUMIFS(Partidos!$N:$N,Partidos!$C:$C,Partidos!$X$2,Partidos!$G:$G,$B$3,Partidos!$E:$E,$A33))))</f>
        <v/>
      </c>
      <c r="G33" s="10" t="str">
        <f>IF($A33="","",(IF($A33="","",SUMIFS(Partidos!$Q:$Q,Partidos!$C:$C,Partidos!$X$2,Partidos!$D:$D,$B$3,Partidos!$F:$F,$A33)+SUMIFS(Partidos!$Q:$Q,Partidos!$C:$C,Partidos!$X$2,Partidos!$D:$D,$B$3,Partidos!$G:$G,$A33)+SUMIFS(Partidos!$Q:$Q,Partidos!$C:$C,Partidos!$X$2,Partidos!$E:$E,$B$3,Partidos!$F:$F,$A33)+SUMIFS(Partidos!$Q:$Q,Partidos!$C:$C,Partidos!$X$2,Partidos!$E:$E,$B$3,Partidos!$G:$G,$A33)+SUMIFS(Partidos!$R:$R,Partidos!$C:$C,Partidos!$X$2,Partidos!$F:$F,$B$3,Partidos!$D:$D,$A33)+SUMIFS(Partidos!$R:$R,Partidos!$C:$C,Partidos!$X$2,Partidos!$F:$F,$B$3,Partidos!$E:$E,$A33)+SUMIFS(Partidos!$R:$R,Partidos!$C:$C,Partidos!$X$2,Partidos!$G:$G,$B$3,Partidos!$D:$D,$A33)+SUMIFS(Partidos!$R:$R,Partidos!$C:$C,Partidos!$X$2,Partidos!$G:$G,$B$3,Partidos!$E:$E,$A33)))-(IF($A33="","",SUMIFS(Partidos!$R:$R,Partidos!$C:$C,Partidos!$X$2,Partidos!$D:$D,$B$3,Partidos!$F:$F,$A33)+SUMIFS(Partidos!$R:$R,Partidos!$C:$C,Partidos!$X$2,Partidos!$D:$D,$B$3,Partidos!$G:$G,$A33)+SUMIFS(Partidos!$R:$R,Partidos!$C:$C,Partidos!$X$2,Partidos!$E:$E,$B$3,Partidos!$F:$F,$A33)+SUMIFS(Partidos!$R:$R,Partidos!$C:$C,Partidos!$X$2,Partidos!$E:$E,$B$3,Partidos!$G:$G,$A33)+SUMIFS(Partidos!$Q:$Q,Partidos!$C:$C,Partidos!$X$2,Partidos!$F:$F,$B$3,Partidos!$D:$D,$A33)+SUMIFS(Partidos!$Q:$Q,Partidos!$C:$C,Partidos!$X$2,Partidos!$F:$F,$B$3,Partidos!$E:$E,$A33)+SUMIFS(Partidos!$Q:$Q,Partidos!$C:$C,Partidos!$X$2,Partidos!$G:$G,$B$3,Partidos!$D:$D,$A33)+SUMIFS(Partidos!$Q:$Q,Partidos!$C:$C,Partidos!$X$2,Partidos!$G:$G,$B$3,Partidos!$E:$E,$A33))))</f>
        <v/>
      </c>
      <c r="H33" s="2"/>
      <c r="J33" t="str">
        <f t="shared" si="0"/>
        <v/>
      </c>
      <c r="K33" t="str">
        <f t="shared" si="1"/>
        <v/>
      </c>
    </row>
    <row r="34" spans="1:11" x14ac:dyDescent="0.3">
      <c r="A34" s="6" t="str">
        <f>IF(Jugadores!B30="","",IF(Jugadores!B30=$B$3,"",Jugadores!B30))</f>
        <v/>
      </c>
      <c r="B34" s="2" t="str">
        <f>IF($A34="","",COUNTIFS(Partidos!$C:$C,Partidos!$X$2,Partidos!$D:$D,$B$3,Partidos!$F:$F,$A34)+COUNTIFS(Partidos!$C:$C,Partidos!$X$2,Partidos!$D:$D,$B$3,Partidos!$G:$G,$A34)+COUNTIFS(Partidos!$C:$C,Partidos!$X$2,Partidos!$E:$E,$B$3,Partidos!$F:$F,$A34)+COUNTIFS(Partidos!$C:$C,Partidos!$X$2,Partidos!$E:$E,$B$3,Partidos!$G:$G,$A34)+COUNTIFS(Partidos!$C:$C,Partidos!$X$2,Partidos!$F:$F,$B$3,Partidos!$D:$D,$A34)+COUNTIFS(Partidos!$C:$C,Partidos!$X$2,Partidos!$F:$F,$B$3,Partidos!$E:$E,$A34)+COUNTIFS(Partidos!$C:$C,Partidos!$X$2,Partidos!$G:$G,$B$3,Partidos!$D:$D,$A34)+COUNTIFS(Partidos!$C:$C,Partidos!$X$2,Partidos!$G:$G,$B$3,Partidos!$E:$E,$A34))</f>
        <v/>
      </c>
      <c r="C34" s="2" t="str">
        <f>IF($A34="","",COUNTIFS(Partidos!$C:$C,Partidos!$X$2,Partidos!$P:$P,"A",Partidos!$D:$D,$B$3,Partidos!$F:$F,$A34)+COUNTIFS(Partidos!$C:$C,Partidos!$X$2,Partidos!$P:$P,"A",Partidos!$D:$D,$B$3,Partidos!$G:$G,$A34)+COUNTIFS(Partidos!$C:$C,Partidos!$X$2,Partidos!$P:$P,"A",Partidos!$E:$E,$B$3,Partidos!$F:$F,$A34)+COUNTIFS(Partidos!$C:$C,Partidos!$X$2,Partidos!$P:$P,"A",Partidos!$E:$E,$B$3,Partidos!$G:$G,$A34)+COUNTIFS(Partidos!$C:$C,Partidos!$X$2,Partidos!$P:$P,"B",Partidos!$F:$F,$B$3,Partidos!$D:$D,$A34)+COUNTIFS(Partidos!$C:$C,Partidos!$X$2,Partidos!$P:$P,"B",Partidos!$F:$F,$B$3,Partidos!$E:$E,$A34)+COUNTIFS(Partidos!$C:$C,Partidos!$X$2,Partidos!$P:$P,"B",Partidos!$G:$G,$B$3,Partidos!$D:$D,$A34)+COUNTIFS(Partidos!$C:$C,Partidos!$X$2,Partidos!$P:$P,"B",Partidos!$G:$G,$B$3,Partidos!$E:$E,$A34))</f>
        <v/>
      </c>
      <c r="D34" s="2" t="str">
        <f t="shared" si="4"/>
        <v/>
      </c>
      <c r="E34" s="11" t="str">
        <f t="shared" si="3"/>
        <v/>
      </c>
      <c r="F34" s="13" t="str">
        <f>IF($A34="","",(IF($A34="","",SUMIFS(Partidos!$N:$N,Partidos!$C:$C,Partidos!$X$2,Partidos!$D:$D,$B$3,Partidos!$F:$F,$A34)+SUMIFS(Partidos!$N:$N,Partidos!$C:$C,Partidos!$X$2,Partidos!$D:$D,$B$3,Partidos!$G:$G,$A34)+SUMIFS(Partidos!$N:$N,Partidos!$C:$C,Partidos!$X$2,Partidos!$E:$E,$B$3,Partidos!$F:$F,$A34)+SUMIFS(Partidos!$N:$N,Partidos!$C:$C,Partidos!$X$2,Partidos!$E:$E,$B$3,Partidos!$G:$G,$A34)+SUMIFS(Partidos!$O:$O,Partidos!$C:$C,Partidos!$X$2,Partidos!$F:$F,$B$3,Partidos!$D:$D,$A34)+SUMIFS(Partidos!$O:$O,Partidos!$C:$C,Partidos!$X$2,Partidos!$F:$F,$B$3,Partidos!$E:$E,$A34)+SUMIFS(Partidos!$O:$O,Partidos!$C:$C,Partidos!$X$2,Partidos!$G:$G,$B$3,Partidos!$D:$D,$A34)+SUMIFS(Partidos!$O:$O,Partidos!$C:$C,Partidos!$X$2,Partidos!$G:$G,$B$3,Partidos!$E:$E,$A34)))&amp;"-"&amp;(IF($A34="","",SUMIFS(Partidos!$O:$O,Partidos!$C:$C,Partidos!$X$2,Partidos!$D:$D,$B$3,Partidos!$F:$F,$A34)+SUMIFS(Partidos!$O:$O,Partidos!$C:$C,Partidos!$X$2,Partidos!$D:$D,$B$3,Partidos!$G:$G,$A34)+SUMIFS(Partidos!$O:$O,Partidos!$C:$C,Partidos!$X$2,Partidos!$E:$E,$B$3,Partidos!$F:$F,$A34)+SUMIFS(Partidos!$O:$O,Partidos!$C:$C,Partidos!$X$2,Partidos!$E:$E,$B$3,Partidos!$G:$G,$A34)+SUMIFS(Partidos!$N:$N,Partidos!$C:$C,Partidos!$X$2,Partidos!$F:$F,$B$3,Partidos!$D:$D,$A34)+SUMIFS(Partidos!$N:$N,Partidos!$C:$C,Partidos!$X$2,Partidos!$F:$F,$B$3,Partidos!$E:$E,$A34)+SUMIFS(Partidos!$N:$N,Partidos!$C:$C,Partidos!$X$2,Partidos!$G:$G,$B$3,Partidos!$D:$D,$A34)+SUMIFS(Partidos!$N:$N,Partidos!$C:$C,Partidos!$X$2,Partidos!$G:$G,$B$3,Partidos!$E:$E,$A34))))</f>
        <v/>
      </c>
      <c r="G34" s="10" t="str">
        <f>IF($A34="","",(IF($A34="","",SUMIFS(Partidos!$Q:$Q,Partidos!$C:$C,Partidos!$X$2,Partidos!$D:$D,$B$3,Partidos!$F:$F,$A34)+SUMIFS(Partidos!$Q:$Q,Partidos!$C:$C,Partidos!$X$2,Partidos!$D:$D,$B$3,Partidos!$G:$G,$A34)+SUMIFS(Partidos!$Q:$Q,Partidos!$C:$C,Partidos!$X$2,Partidos!$E:$E,$B$3,Partidos!$F:$F,$A34)+SUMIFS(Partidos!$Q:$Q,Partidos!$C:$C,Partidos!$X$2,Partidos!$E:$E,$B$3,Partidos!$G:$G,$A34)+SUMIFS(Partidos!$R:$R,Partidos!$C:$C,Partidos!$X$2,Partidos!$F:$F,$B$3,Partidos!$D:$D,$A34)+SUMIFS(Partidos!$R:$R,Partidos!$C:$C,Partidos!$X$2,Partidos!$F:$F,$B$3,Partidos!$E:$E,$A34)+SUMIFS(Partidos!$R:$R,Partidos!$C:$C,Partidos!$X$2,Partidos!$G:$G,$B$3,Partidos!$D:$D,$A34)+SUMIFS(Partidos!$R:$R,Partidos!$C:$C,Partidos!$X$2,Partidos!$G:$G,$B$3,Partidos!$E:$E,$A34)))-(IF($A34="","",SUMIFS(Partidos!$R:$R,Partidos!$C:$C,Partidos!$X$2,Partidos!$D:$D,$B$3,Partidos!$F:$F,$A34)+SUMIFS(Partidos!$R:$R,Partidos!$C:$C,Partidos!$X$2,Partidos!$D:$D,$B$3,Partidos!$G:$G,$A34)+SUMIFS(Partidos!$R:$R,Partidos!$C:$C,Partidos!$X$2,Partidos!$E:$E,$B$3,Partidos!$F:$F,$A34)+SUMIFS(Partidos!$R:$R,Partidos!$C:$C,Partidos!$X$2,Partidos!$E:$E,$B$3,Partidos!$G:$G,$A34)+SUMIFS(Partidos!$Q:$Q,Partidos!$C:$C,Partidos!$X$2,Partidos!$F:$F,$B$3,Partidos!$D:$D,$A34)+SUMIFS(Partidos!$Q:$Q,Partidos!$C:$C,Partidos!$X$2,Partidos!$F:$F,$B$3,Partidos!$E:$E,$A34)+SUMIFS(Partidos!$Q:$Q,Partidos!$C:$C,Partidos!$X$2,Partidos!$G:$G,$B$3,Partidos!$D:$D,$A34)+SUMIFS(Partidos!$Q:$Q,Partidos!$C:$C,Partidos!$X$2,Partidos!$G:$G,$B$3,Partidos!$E:$E,$A34))))</f>
        <v/>
      </c>
      <c r="H34" s="2"/>
      <c r="J34" t="str">
        <f t="shared" si="0"/>
        <v/>
      </c>
      <c r="K34" t="str">
        <f t="shared" si="1"/>
        <v/>
      </c>
    </row>
    <row r="35" spans="1:11" x14ac:dyDescent="0.3">
      <c r="A35" s="6" t="str">
        <f>IF(Jugadores!B31="","",IF(Jugadores!B31=$B$3,"",Jugadores!B31))</f>
        <v/>
      </c>
      <c r="B35" s="2" t="str">
        <f>IF($A35="","",COUNTIFS(Partidos!$C:$C,Partidos!$X$2,Partidos!$D:$D,$B$3,Partidos!$F:$F,$A35)+COUNTIFS(Partidos!$C:$C,Partidos!$X$2,Partidos!$D:$D,$B$3,Partidos!$G:$G,$A35)+COUNTIFS(Partidos!$C:$C,Partidos!$X$2,Partidos!$E:$E,$B$3,Partidos!$F:$F,$A35)+COUNTIFS(Partidos!$C:$C,Partidos!$X$2,Partidos!$E:$E,$B$3,Partidos!$G:$G,$A35)+COUNTIFS(Partidos!$C:$C,Partidos!$X$2,Partidos!$F:$F,$B$3,Partidos!$D:$D,$A35)+COUNTIFS(Partidos!$C:$C,Partidos!$X$2,Partidos!$F:$F,$B$3,Partidos!$E:$E,$A35)+COUNTIFS(Partidos!$C:$C,Partidos!$X$2,Partidos!$G:$G,$B$3,Partidos!$D:$D,$A35)+COUNTIFS(Partidos!$C:$C,Partidos!$X$2,Partidos!$G:$G,$B$3,Partidos!$E:$E,$A35))</f>
        <v/>
      </c>
      <c r="C35" s="2" t="str">
        <f>IF($A35="","",COUNTIFS(Partidos!$C:$C,Partidos!$X$2,Partidos!$P:$P,"A",Partidos!$D:$D,$B$3,Partidos!$F:$F,$A35)+COUNTIFS(Partidos!$C:$C,Partidos!$X$2,Partidos!$P:$P,"A",Partidos!$D:$D,$B$3,Partidos!$G:$G,$A35)+COUNTIFS(Partidos!$C:$C,Partidos!$X$2,Partidos!$P:$P,"A",Partidos!$E:$E,$B$3,Partidos!$F:$F,$A35)+COUNTIFS(Partidos!$C:$C,Partidos!$X$2,Partidos!$P:$P,"A",Partidos!$E:$E,$B$3,Partidos!$G:$G,$A35)+COUNTIFS(Partidos!$C:$C,Partidos!$X$2,Partidos!$P:$P,"B",Partidos!$F:$F,$B$3,Partidos!$D:$D,$A35)+COUNTIFS(Partidos!$C:$C,Partidos!$X$2,Partidos!$P:$P,"B",Partidos!$F:$F,$B$3,Partidos!$E:$E,$A35)+COUNTIFS(Partidos!$C:$C,Partidos!$X$2,Partidos!$P:$P,"B",Partidos!$G:$G,$B$3,Partidos!$D:$D,$A35)+COUNTIFS(Partidos!$C:$C,Partidos!$X$2,Partidos!$P:$P,"B",Partidos!$G:$G,$B$3,Partidos!$E:$E,$A35))</f>
        <v/>
      </c>
      <c r="D35" s="2" t="str">
        <f t="shared" si="4"/>
        <v/>
      </c>
      <c r="E35" s="11" t="str">
        <f t="shared" si="3"/>
        <v/>
      </c>
      <c r="F35" s="13" t="str">
        <f>IF($A35="","",(IF($A35="","",SUMIFS(Partidos!$N:$N,Partidos!$C:$C,Partidos!$X$2,Partidos!$D:$D,$B$3,Partidos!$F:$F,$A35)+SUMIFS(Partidos!$N:$N,Partidos!$C:$C,Partidos!$X$2,Partidos!$D:$D,$B$3,Partidos!$G:$G,$A35)+SUMIFS(Partidos!$N:$N,Partidos!$C:$C,Partidos!$X$2,Partidos!$E:$E,$B$3,Partidos!$F:$F,$A35)+SUMIFS(Partidos!$N:$N,Partidos!$C:$C,Partidos!$X$2,Partidos!$E:$E,$B$3,Partidos!$G:$G,$A35)+SUMIFS(Partidos!$O:$O,Partidos!$C:$C,Partidos!$X$2,Partidos!$F:$F,$B$3,Partidos!$D:$D,$A35)+SUMIFS(Partidos!$O:$O,Partidos!$C:$C,Partidos!$X$2,Partidos!$F:$F,$B$3,Partidos!$E:$E,$A35)+SUMIFS(Partidos!$O:$O,Partidos!$C:$C,Partidos!$X$2,Partidos!$G:$G,$B$3,Partidos!$D:$D,$A35)+SUMIFS(Partidos!$O:$O,Partidos!$C:$C,Partidos!$X$2,Partidos!$G:$G,$B$3,Partidos!$E:$E,$A35)))&amp;"-"&amp;(IF($A35="","",SUMIFS(Partidos!$O:$O,Partidos!$C:$C,Partidos!$X$2,Partidos!$D:$D,$B$3,Partidos!$F:$F,$A35)+SUMIFS(Partidos!$O:$O,Partidos!$C:$C,Partidos!$X$2,Partidos!$D:$D,$B$3,Partidos!$G:$G,$A35)+SUMIFS(Partidos!$O:$O,Partidos!$C:$C,Partidos!$X$2,Partidos!$E:$E,$B$3,Partidos!$F:$F,$A35)+SUMIFS(Partidos!$O:$O,Partidos!$C:$C,Partidos!$X$2,Partidos!$E:$E,$B$3,Partidos!$G:$G,$A35)+SUMIFS(Partidos!$N:$N,Partidos!$C:$C,Partidos!$X$2,Partidos!$F:$F,$B$3,Partidos!$D:$D,$A35)+SUMIFS(Partidos!$N:$N,Partidos!$C:$C,Partidos!$X$2,Partidos!$F:$F,$B$3,Partidos!$E:$E,$A35)+SUMIFS(Partidos!$N:$N,Partidos!$C:$C,Partidos!$X$2,Partidos!$G:$G,$B$3,Partidos!$D:$D,$A35)+SUMIFS(Partidos!$N:$N,Partidos!$C:$C,Partidos!$X$2,Partidos!$G:$G,$B$3,Partidos!$E:$E,$A35))))</f>
        <v/>
      </c>
      <c r="G35" s="10" t="str">
        <f>IF($A35="","",(IF($A35="","",SUMIFS(Partidos!$Q:$Q,Partidos!$C:$C,Partidos!$X$2,Partidos!$D:$D,$B$3,Partidos!$F:$F,$A35)+SUMIFS(Partidos!$Q:$Q,Partidos!$C:$C,Partidos!$X$2,Partidos!$D:$D,$B$3,Partidos!$G:$G,$A35)+SUMIFS(Partidos!$Q:$Q,Partidos!$C:$C,Partidos!$X$2,Partidos!$E:$E,$B$3,Partidos!$F:$F,$A35)+SUMIFS(Partidos!$Q:$Q,Partidos!$C:$C,Partidos!$X$2,Partidos!$E:$E,$B$3,Partidos!$G:$G,$A35)+SUMIFS(Partidos!$R:$R,Partidos!$C:$C,Partidos!$X$2,Partidos!$F:$F,$B$3,Partidos!$D:$D,$A35)+SUMIFS(Partidos!$R:$R,Partidos!$C:$C,Partidos!$X$2,Partidos!$F:$F,$B$3,Partidos!$E:$E,$A35)+SUMIFS(Partidos!$R:$R,Partidos!$C:$C,Partidos!$X$2,Partidos!$G:$G,$B$3,Partidos!$D:$D,$A35)+SUMIFS(Partidos!$R:$R,Partidos!$C:$C,Partidos!$X$2,Partidos!$G:$G,$B$3,Partidos!$E:$E,$A35)))-(IF($A35="","",SUMIFS(Partidos!$R:$R,Partidos!$C:$C,Partidos!$X$2,Partidos!$D:$D,$B$3,Partidos!$F:$F,$A35)+SUMIFS(Partidos!$R:$R,Partidos!$C:$C,Partidos!$X$2,Partidos!$D:$D,$B$3,Partidos!$G:$G,$A35)+SUMIFS(Partidos!$R:$R,Partidos!$C:$C,Partidos!$X$2,Partidos!$E:$E,$B$3,Partidos!$F:$F,$A35)+SUMIFS(Partidos!$R:$R,Partidos!$C:$C,Partidos!$X$2,Partidos!$E:$E,$B$3,Partidos!$G:$G,$A35)+SUMIFS(Partidos!$Q:$Q,Partidos!$C:$C,Partidos!$X$2,Partidos!$F:$F,$B$3,Partidos!$D:$D,$A35)+SUMIFS(Partidos!$Q:$Q,Partidos!$C:$C,Partidos!$X$2,Partidos!$F:$F,$B$3,Partidos!$E:$E,$A35)+SUMIFS(Partidos!$Q:$Q,Partidos!$C:$C,Partidos!$X$2,Partidos!$G:$G,$B$3,Partidos!$D:$D,$A35)+SUMIFS(Partidos!$Q:$Q,Partidos!$C:$C,Partidos!$X$2,Partidos!$G:$G,$B$3,Partidos!$E:$E,$A35))))</f>
        <v/>
      </c>
      <c r="H35" s="2"/>
      <c r="J35" t="str">
        <f t="shared" si="0"/>
        <v/>
      </c>
      <c r="K35" t="str">
        <f t="shared" si="1"/>
        <v/>
      </c>
    </row>
    <row r="36" spans="1:11" x14ac:dyDescent="0.3">
      <c r="A36" s="6" t="str">
        <f>IF(Jugadores!B32="","",IF(Jugadores!B32=$B$3,"",Jugadores!B32))</f>
        <v/>
      </c>
      <c r="B36" s="2" t="str">
        <f>IF($A36="","",COUNTIFS(Partidos!$C:$C,Partidos!$X$2,Partidos!$D:$D,$B$3,Partidos!$F:$F,$A36)+COUNTIFS(Partidos!$C:$C,Partidos!$X$2,Partidos!$D:$D,$B$3,Partidos!$G:$G,$A36)+COUNTIFS(Partidos!$C:$C,Partidos!$X$2,Partidos!$E:$E,$B$3,Partidos!$F:$F,$A36)+COUNTIFS(Partidos!$C:$C,Partidos!$X$2,Partidos!$E:$E,$B$3,Partidos!$G:$G,$A36)+COUNTIFS(Partidos!$C:$C,Partidos!$X$2,Partidos!$F:$F,$B$3,Partidos!$D:$D,$A36)+COUNTIFS(Partidos!$C:$C,Partidos!$X$2,Partidos!$F:$F,$B$3,Partidos!$E:$E,$A36)+COUNTIFS(Partidos!$C:$C,Partidos!$X$2,Partidos!$G:$G,$B$3,Partidos!$D:$D,$A36)+COUNTIFS(Partidos!$C:$C,Partidos!$X$2,Partidos!$G:$G,$B$3,Partidos!$E:$E,$A36))</f>
        <v/>
      </c>
      <c r="C36" s="2" t="str">
        <f>IF($A36="","",COUNTIFS(Partidos!$C:$C,Partidos!$X$2,Partidos!$P:$P,"A",Partidos!$D:$D,$B$3,Partidos!$F:$F,$A36)+COUNTIFS(Partidos!$C:$C,Partidos!$X$2,Partidos!$P:$P,"A",Partidos!$D:$D,$B$3,Partidos!$G:$G,$A36)+COUNTIFS(Partidos!$C:$C,Partidos!$X$2,Partidos!$P:$P,"A",Partidos!$E:$E,$B$3,Partidos!$F:$F,$A36)+COUNTIFS(Partidos!$C:$C,Partidos!$X$2,Partidos!$P:$P,"A",Partidos!$E:$E,$B$3,Partidos!$G:$G,$A36)+COUNTIFS(Partidos!$C:$C,Partidos!$X$2,Partidos!$P:$P,"B",Partidos!$F:$F,$B$3,Partidos!$D:$D,$A36)+COUNTIFS(Partidos!$C:$C,Partidos!$X$2,Partidos!$P:$P,"B",Partidos!$F:$F,$B$3,Partidos!$E:$E,$A36)+COUNTIFS(Partidos!$C:$C,Partidos!$X$2,Partidos!$P:$P,"B",Partidos!$G:$G,$B$3,Partidos!$D:$D,$A36)+COUNTIFS(Partidos!$C:$C,Partidos!$X$2,Partidos!$P:$P,"B",Partidos!$G:$G,$B$3,Partidos!$E:$E,$A36))</f>
        <v/>
      </c>
      <c r="D36" s="2" t="str">
        <f t="shared" si="4"/>
        <v/>
      </c>
      <c r="E36" s="11" t="str">
        <f t="shared" si="3"/>
        <v/>
      </c>
      <c r="F36" s="13" t="str">
        <f>IF($A36="","",(IF($A36="","",SUMIFS(Partidos!$N:$N,Partidos!$C:$C,Partidos!$X$2,Partidos!$D:$D,$B$3,Partidos!$F:$F,$A36)+SUMIFS(Partidos!$N:$N,Partidos!$C:$C,Partidos!$X$2,Partidos!$D:$D,$B$3,Partidos!$G:$G,$A36)+SUMIFS(Partidos!$N:$N,Partidos!$C:$C,Partidos!$X$2,Partidos!$E:$E,$B$3,Partidos!$F:$F,$A36)+SUMIFS(Partidos!$N:$N,Partidos!$C:$C,Partidos!$X$2,Partidos!$E:$E,$B$3,Partidos!$G:$G,$A36)+SUMIFS(Partidos!$O:$O,Partidos!$C:$C,Partidos!$X$2,Partidos!$F:$F,$B$3,Partidos!$D:$D,$A36)+SUMIFS(Partidos!$O:$O,Partidos!$C:$C,Partidos!$X$2,Partidos!$F:$F,$B$3,Partidos!$E:$E,$A36)+SUMIFS(Partidos!$O:$O,Partidos!$C:$C,Partidos!$X$2,Partidos!$G:$G,$B$3,Partidos!$D:$D,$A36)+SUMIFS(Partidos!$O:$O,Partidos!$C:$C,Partidos!$X$2,Partidos!$G:$G,$B$3,Partidos!$E:$E,$A36)))&amp;"-"&amp;(IF($A36="","",SUMIFS(Partidos!$O:$O,Partidos!$C:$C,Partidos!$X$2,Partidos!$D:$D,$B$3,Partidos!$F:$F,$A36)+SUMIFS(Partidos!$O:$O,Partidos!$C:$C,Partidos!$X$2,Partidos!$D:$D,$B$3,Partidos!$G:$G,$A36)+SUMIFS(Partidos!$O:$O,Partidos!$C:$C,Partidos!$X$2,Partidos!$E:$E,$B$3,Partidos!$F:$F,$A36)+SUMIFS(Partidos!$O:$O,Partidos!$C:$C,Partidos!$X$2,Partidos!$E:$E,$B$3,Partidos!$G:$G,$A36)+SUMIFS(Partidos!$N:$N,Partidos!$C:$C,Partidos!$X$2,Partidos!$F:$F,$B$3,Partidos!$D:$D,$A36)+SUMIFS(Partidos!$N:$N,Partidos!$C:$C,Partidos!$X$2,Partidos!$F:$F,$B$3,Partidos!$E:$E,$A36)+SUMIFS(Partidos!$N:$N,Partidos!$C:$C,Partidos!$X$2,Partidos!$G:$G,$B$3,Partidos!$D:$D,$A36)+SUMIFS(Partidos!$N:$N,Partidos!$C:$C,Partidos!$X$2,Partidos!$G:$G,$B$3,Partidos!$E:$E,$A36))))</f>
        <v/>
      </c>
      <c r="G36" s="10" t="str">
        <f>IF($A36="","",(IF($A36="","",SUMIFS(Partidos!$Q:$Q,Partidos!$C:$C,Partidos!$X$2,Partidos!$D:$D,$B$3,Partidos!$F:$F,$A36)+SUMIFS(Partidos!$Q:$Q,Partidos!$C:$C,Partidos!$X$2,Partidos!$D:$D,$B$3,Partidos!$G:$G,$A36)+SUMIFS(Partidos!$Q:$Q,Partidos!$C:$C,Partidos!$X$2,Partidos!$E:$E,$B$3,Partidos!$F:$F,$A36)+SUMIFS(Partidos!$Q:$Q,Partidos!$C:$C,Partidos!$X$2,Partidos!$E:$E,$B$3,Partidos!$G:$G,$A36)+SUMIFS(Partidos!$R:$R,Partidos!$C:$C,Partidos!$X$2,Partidos!$F:$F,$B$3,Partidos!$D:$D,$A36)+SUMIFS(Partidos!$R:$R,Partidos!$C:$C,Partidos!$X$2,Partidos!$F:$F,$B$3,Partidos!$E:$E,$A36)+SUMIFS(Partidos!$R:$R,Partidos!$C:$C,Partidos!$X$2,Partidos!$G:$G,$B$3,Partidos!$D:$D,$A36)+SUMIFS(Partidos!$R:$R,Partidos!$C:$C,Partidos!$X$2,Partidos!$G:$G,$B$3,Partidos!$E:$E,$A36)))-(IF($A36="","",SUMIFS(Partidos!$R:$R,Partidos!$C:$C,Partidos!$X$2,Partidos!$D:$D,$B$3,Partidos!$F:$F,$A36)+SUMIFS(Partidos!$R:$R,Partidos!$C:$C,Partidos!$X$2,Partidos!$D:$D,$B$3,Partidos!$G:$G,$A36)+SUMIFS(Partidos!$R:$R,Partidos!$C:$C,Partidos!$X$2,Partidos!$E:$E,$B$3,Partidos!$F:$F,$A36)+SUMIFS(Partidos!$R:$R,Partidos!$C:$C,Partidos!$X$2,Partidos!$E:$E,$B$3,Partidos!$G:$G,$A36)+SUMIFS(Partidos!$Q:$Q,Partidos!$C:$C,Partidos!$X$2,Partidos!$F:$F,$B$3,Partidos!$D:$D,$A36)+SUMIFS(Partidos!$Q:$Q,Partidos!$C:$C,Partidos!$X$2,Partidos!$F:$F,$B$3,Partidos!$E:$E,$A36)+SUMIFS(Partidos!$Q:$Q,Partidos!$C:$C,Partidos!$X$2,Partidos!$G:$G,$B$3,Partidos!$D:$D,$A36)+SUMIFS(Partidos!$Q:$Q,Partidos!$C:$C,Partidos!$X$2,Partidos!$G:$G,$B$3,Partidos!$E:$E,$A36))))</f>
        <v/>
      </c>
      <c r="H36" s="2"/>
      <c r="J36" t="str">
        <f t="shared" si="0"/>
        <v/>
      </c>
      <c r="K36" t="str">
        <f t="shared" si="1"/>
        <v/>
      </c>
    </row>
    <row r="37" spans="1:11" x14ac:dyDescent="0.3">
      <c r="A37" s="6" t="str">
        <f>IF(Jugadores!B33="","",IF(Jugadores!B33=$B$3,"",Jugadores!B33))</f>
        <v/>
      </c>
      <c r="B37" s="2" t="str">
        <f>IF($A37="","",COUNTIFS(Partidos!$C:$C,Partidos!$X$2,Partidos!$D:$D,$B$3,Partidos!$F:$F,$A37)+COUNTIFS(Partidos!$C:$C,Partidos!$X$2,Partidos!$D:$D,$B$3,Partidos!$G:$G,$A37)+COUNTIFS(Partidos!$C:$C,Partidos!$X$2,Partidos!$E:$E,$B$3,Partidos!$F:$F,$A37)+COUNTIFS(Partidos!$C:$C,Partidos!$X$2,Partidos!$E:$E,$B$3,Partidos!$G:$G,$A37)+COUNTIFS(Partidos!$C:$C,Partidos!$X$2,Partidos!$F:$F,$B$3,Partidos!$D:$D,$A37)+COUNTIFS(Partidos!$C:$C,Partidos!$X$2,Partidos!$F:$F,$B$3,Partidos!$E:$E,$A37)+COUNTIFS(Partidos!$C:$C,Partidos!$X$2,Partidos!$G:$G,$B$3,Partidos!$D:$D,$A37)+COUNTIFS(Partidos!$C:$C,Partidos!$X$2,Partidos!$G:$G,$B$3,Partidos!$E:$E,$A37))</f>
        <v/>
      </c>
      <c r="C37" s="2" t="str">
        <f>IF($A37="","",COUNTIFS(Partidos!$C:$C,Partidos!$X$2,Partidos!$P:$P,"A",Partidos!$D:$D,$B$3,Partidos!$F:$F,$A37)+COUNTIFS(Partidos!$C:$C,Partidos!$X$2,Partidos!$P:$P,"A",Partidos!$D:$D,$B$3,Partidos!$G:$G,$A37)+COUNTIFS(Partidos!$C:$C,Partidos!$X$2,Partidos!$P:$P,"A",Partidos!$E:$E,$B$3,Partidos!$F:$F,$A37)+COUNTIFS(Partidos!$C:$C,Partidos!$X$2,Partidos!$P:$P,"A",Partidos!$E:$E,$B$3,Partidos!$G:$G,$A37)+COUNTIFS(Partidos!$C:$C,Partidos!$X$2,Partidos!$P:$P,"B",Partidos!$F:$F,$B$3,Partidos!$D:$D,$A37)+COUNTIFS(Partidos!$C:$C,Partidos!$X$2,Partidos!$P:$P,"B",Partidos!$F:$F,$B$3,Partidos!$E:$E,$A37)+COUNTIFS(Partidos!$C:$C,Partidos!$X$2,Partidos!$P:$P,"B",Partidos!$G:$G,$B$3,Partidos!$D:$D,$A37)+COUNTIFS(Partidos!$C:$C,Partidos!$X$2,Partidos!$P:$P,"B",Partidos!$G:$G,$B$3,Partidos!$E:$E,$A37))</f>
        <v/>
      </c>
      <c r="D37" s="2" t="str">
        <f t="shared" si="4"/>
        <v/>
      </c>
      <c r="E37" s="11" t="str">
        <f t="shared" si="3"/>
        <v/>
      </c>
      <c r="F37" s="13" t="str">
        <f>IF($A37="","",(IF($A37="","",SUMIFS(Partidos!$N:$N,Partidos!$C:$C,Partidos!$X$2,Partidos!$D:$D,$B$3,Partidos!$F:$F,$A37)+SUMIFS(Partidos!$N:$N,Partidos!$C:$C,Partidos!$X$2,Partidos!$D:$D,$B$3,Partidos!$G:$G,$A37)+SUMIFS(Partidos!$N:$N,Partidos!$C:$C,Partidos!$X$2,Partidos!$E:$E,$B$3,Partidos!$F:$F,$A37)+SUMIFS(Partidos!$N:$N,Partidos!$C:$C,Partidos!$X$2,Partidos!$E:$E,$B$3,Partidos!$G:$G,$A37)+SUMIFS(Partidos!$O:$O,Partidos!$C:$C,Partidos!$X$2,Partidos!$F:$F,$B$3,Partidos!$D:$D,$A37)+SUMIFS(Partidos!$O:$O,Partidos!$C:$C,Partidos!$X$2,Partidos!$F:$F,$B$3,Partidos!$E:$E,$A37)+SUMIFS(Partidos!$O:$O,Partidos!$C:$C,Partidos!$X$2,Partidos!$G:$G,$B$3,Partidos!$D:$D,$A37)+SUMIFS(Partidos!$O:$O,Partidos!$C:$C,Partidos!$X$2,Partidos!$G:$G,$B$3,Partidos!$E:$E,$A37)))&amp;"-"&amp;(IF($A37="","",SUMIFS(Partidos!$O:$O,Partidos!$C:$C,Partidos!$X$2,Partidos!$D:$D,$B$3,Partidos!$F:$F,$A37)+SUMIFS(Partidos!$O:$O,Partidos!$C:$C,Partidos!$X$2,Partidos!$D:$D,$B$3,Partidos!$G:$G,$A37)+SUMIFS(Partidos!$O:$O,Partidos!$C:$C,Partidos!$X$2,Partidos!$E:$E,$B$3,Partidos!$F:$F,$A37)+SUMIFS(Partidos!$O:$O,Partidos!$C:$C,Partidos!$X$2,Partidos!$E:$E,$B$3,Partidos!$G:$G,$A37)+SUMIFS(Partidos!$N:$N,Partidos!$C:$C,Partidos!$X$2,Partidos!$F:$F,$B$3,Partidos!$D:$D,$A37)+SUMIFS(Partidos!$N:$N,Partidos!$C:$C,Partidos!$X$2,Partidos!$F:$F,$B$3,Partidos!$E:$E,$A37)+SUMIFS(Partidos!$N:$N,Partidos!$C:$C,Partidos!$X$2,Partidos!$G:$G,$B$3,Partidos!$D:$D,$A37)+SUMIFS(Partidos!$N:$N,Partidos!$C:$C,Partidos!$X$2,Partidos!$G:$G,$B$3,Partidos!$E:$E,$A37))))</f>
        <v/>
      </c>
      <c r="G37" s="10" t="str">
        <f>IF($A37="","",(IF($A37="","",SUMIFS(Partidos!$Q:$Q,Partidos!$C:$C,Partidos!$X$2,Partidos!$D:$D,$B$3,Partidos!$F:$F,$A37)+SUMIFS(Partidos!$Q:$Q,Partidos!$C:$C,Partidos!$X$2,Partidos!$D:$D,$B$3,Partidos!$G:$G,$A37)+SUMIFS(Partidos!$Q:$Q,Partidos!$C:$C,Partidos!$X$2,Partidos!$E:$E,$B$3,Partidos!$F:$F,$A37)+SUMIFS(Partidos!$Q:$Q,Partidos!$C:$C,Partidos!$X$2,Partidos!$E:$E,$B$3,Partidos!$G:$G,$A37)+SUMIFS(Partidos!$R:$R,Partidos!$C:$C,Partidos!$X$2,Partidos!$F:$F,$B$3,Partidos!$D:$D,$A37)+SUMIFS(Partidos!$R:$R,Partidos!$C:$C,Partidos!$X$2,Partidos!$F:$F,$B$3,Partidos!$E:$E,$A37)+SUMIFS(Partidos!$R:$R,Partidos!$C:$C,Partidos!$X$2,Partidos!$G:$G,$B$3,Partidos!$D:$D,$A37)+SUMIFS(Partidos!$R:$R,Partidos!$C:$C,Partidos!$X$2,Partidos!$G:$G,$B$3,Partidos!$E:$E,$A37)))-(IF($A37="","",SUMIFS(Partidos!$R:$R,Partidos!$C:$C,Partidos!$X$2,Partidos!$D:$D,$B$3,Partidos!$F:$F,$A37)+SUMIFS(Partidos!$R:$R,Partidos!$C:$C,Partidos!$X$2,Partidos!$D:$D,$B$3,Partidos!$G:$G,$A37)+SUMIFS(Partidos!$R:$R,Partidos!$C:$C,Partidos!$X$2,Partidos!$E:$E,$B$3,Partidos!$F:$F,$A37)+SUMIFS(Partidos!$R:$R,Partidos!$C:$C,Partidos!$X$2,Partidos!$E:$E,$B$3,Partidos!$G:$G,$A37)+SUMIFS(Partidos!$Q:$Q,Partidos!$C:$C,Partidos!$X$2,Partidos!$F:$F,$B$3,Partidos!$D:$D,$A37)+SUMIFS(Partidos!$Q:$Q,Partidos!$C:$C,Partidos!$X$2,Partidos!$F:$F,$B$3,Partidos!$E:$E,$A37)+SUMIFS(Partidos!$Q:$Q,Partidos!$C:$C,Partidos!$X$2,Partidos!$G:$G,$B$3,Partidos!$D:$D,$A37)+SUMIFS(Partidos!$Q:$Q,Partidos!$C:$C,Partidos!$X$2,Partidos!$G:$G,$B$3,Partidos!$E:$E,$A37))))</f>
        <v/>
      </c>
      <c r="H37" s="2"/>
      <c r="J37" t="str">
        <f t="shared" si="0"/>
        <v/>
      </c>
      <c r="K37" t="str">
        <f t="shared" si="1"/>
        <v/>
      </c>
    </row>
    <row r="38" spans="1:11" x14ac:dyDescent="0.3">
      <c r="A38" s="6" t="str">
        <f>IF(Jugadores!B34="","",IF(Jugadores!B34=$B$3,"",Jugadores!B34))</f>
        <v/>
      </c>
      <c r="B38" s="2" t="str">
        <f>IF($A38="","",COUNTIFS(Partidos!$C:$C,Partidos!$X$2,Partidos!$D:$D,$B$3,Partidos!$F:$F,$A38)+COUNTIFS(Partidos!$C:$C,Partidos!$X$2,Partidos!$D:$D,$B$3,Partidos!$G:$G,$A38)+COUNTIFS(Partidos!$C:$C,Partidos!$X$2,Partidos!$E:$E,$B$3,Partidos!$F:$F,$A38)+COUNTIFS(Partidos!$C:$C,Partidos!$X$2,Partidos!$E:$E,$B$3,Partidos!$G:$G,$A38)+COUNTIFS(Partidos!$C:$C,Partidos!$X$2,Partidos!$F:$F,$B$3,Partidos!$D:$D,$A38)+COUNTIFS(Partidos!$C:$C,Partidos!$X$2,Partidos!$F:$F,$B$3,Partidos!$E:$E,$A38)+COUNTIFS(Partidos!$C:$C,Partidos!$X$2,Partidos!$G:$G,$B$3,Partidos!$D:$D,$A38)+COUNTIFS(Partidos!$C:$C,Partidos!$X$2,Partidos!$G:$G,$B$3,Partidos!$E:$E,$A38))</f>
        <v/>
      </c>
      <c r="C38" s="2" t="str">
        <f>IF($A38="","",COUNTIFS(Partidos!$C:$C,Partidos!$X$2,Partidos!$P:$P,"A",Partidos!$D:$D,$B$3,Partidos!$F:$F,$A38)+COUNTIFS(Partidos!$C:$C,Partidos!$X$2,Partidos!$P:$P,"A",Partidos!$D:$D,$B$3,Partidos!$G:$G,$A38)+COUNTIFS(Partidos!$C:$C,Partidos!$X$2,Partidos!$P:$P,"A",Partidos!$E:$E,$B$3,Partidos!$F:$F,$A38)+COUNTIFS(Partidos!$C:$C,Partidos!$X$2,Partidos!$P:$P,"A",Partidos!$E:$E,$B$3,Partidos!$G:$G,$A38)+COUNTIFS(Partidos!$C:$C,Partidos!$X$2,Partidos!$P:$P,"B",Partidos!$F:$F,$B$3,Partidos!$D:$D,$A38)+COUNTIFS(Partidos!$C:$C,Partidos!$X$2,Partidos!$P:$P,"B",Partidos!$F:$F,$B$3,Partidos!$E:$E,$A38)+COUNTIFS(Partidos!$C:$C,Partidos!$X$2,Partidos!$P:$P,"B",Partidos!$G:$G,$B$3,Partidos!$D:$D,$A38)+COUNTIFS(Partidos!$C:$C,Partidos!$X$2,Partidos!$P:$P,"B",Partidos!$G:$G,$B$3,Partidos!$E:$E,$A38))</f>
        <v/>
      </c>
      <c r="D38" s="2" t="str">
        <f t="shared" ref="D38:D65" si="5">IF($A38="","",B38-C38)</f>
        <v/>
      </c>
      <c r="E38" s="11" t="str">
        <f t="shared" si="3"/>
        <v/>
      </c>
      <c r="F38" s="13" t="str">
        <f>IF($A38="","",(IF($A38="","",SUMIFS(Partidos!$N:$N,Partidos!$C:$C,Partidos!$X$2,Partidos!$D:$D,$B$3,Partidos!$F:$F,$A38)+SUMIFS(Partidos!$N:$N,Partidos!$C:$C,Partidos!$X$2,Partidos!$D:$D,$B$3,Partidos!$G:$G,$A38)+SUMIFS(Partidos!$N:$N,Partidos!$C:$C,Partidos!$X$2,Partidos!$E:$E,$B$3,Partidos!$F:$F,$A38)+SUMIFS(Partidos!$N:$N,Partidos!$C:$C,Partidos!$X$2,Partidos!$E:$E,$B$3,Partidos!$G:$G,$A38)+SUMIFS(Partidos!$O:$O,Partidos!$C:$C,Partidos!$X$2,Partidos!$F:$F,$B$3,Partidos!$D:$D,$A38)+SUMIFS(Partidos!$O:$O,Partidos!$C:$C,Partidos!$X$2,Partidos!$F:$F,$B$3,Partidos!$E:$E,$A38)+SUMIFS(Partidos!$O:$O,Partidos!$C:$C,Partidos!$X$2,Partidos!$G:$G,$B$3,Partidos!$D:$D,$A38)+SUMIFS(Partidos!$O:$O,Partidos!$C:$C,Partidos!$X$2,Partidos!$G:$G,$B$3,Partidos!$E:$E,$A38)))&amp;"-"&amp;(IF($A38="","",SUMIFS(Partidos!$O:$O,Partidos!$C:$C,Partidos!$X$2,Partidos!$D:$D,$B$3,Partidos!$F:$F,$A38)+SUMIFS(Partidos!$O:$O,Partidos!$C:$C,Partidos!$X$2,Partidos!$D:$D,$B$3,Partidos!$G:$G,$A38)+SUMIFS(Partidos!$O:$O,Partidos!$C:$C,Partidos!$X$2,Partidos!$E:$E,$B$3,Partidos!$F:$F,$A38)+SUMIFS(Partidos!$O:$O,Partidos!$C:$C,Partidos!$X$2,Partidos!$E:$E,$B$3,Partidos!$G:$G,$A38)+SUMIFS(Partidos!$N:$N,Partidos!$C:$C,Partidos!$X$2,Partidos!$F:$F,$B$3,Partidos!$D:$D,$A38)+SUMIFS(Partidos!$N:$N,Partidos!$C:$C,Partidos!$X$2,Partidos!$F:$F,$B$3,Partidos!$E:$E,$A38)+SUMIFS(Partidos!$N:$N,Partidos!$C:$C,Partidos!$X$2,Partidos!$G:$G,$B$3,Partidos!$D:$D,$A38)+SUMIFS(Partidos!$N:$N,Partidos!$C:$C,Partidos!$X$2,Partidos!$G:$G,$B$3,Partidos!$E:$E,$A38))))</f>
        <v/>
      </c>
      <c r="G38" s="10" t="str">
        <f>IF($A38="","",(IF($A38="","",SUMIFS(Partidos!$Q:$Q,Partidos!$C:$C,Partidos!$X$2,Partidos!$D:$D,$B$3,Partidos!$F:$F,$A38)+SUMIFS(Partidos!$Q:$Q,Partidos!$C:$C,Partidos!$X$2,Partidos!$D:$D,$B$3,Partidos!$G:$G,$A38)+SUMIFS(Partidos!$Q:$Q,Partidos!$C:$C,Partidos!$X$2,Partidos!$E:$E,$B$3,Partidos!$F:$F,$A38)+SUMIFS(Partidos!$Q:$Q,Partidos!$C:$C,Partidos!$X$2,Partidos!$E:$E,$B$3,Partidos!$G:$G,$A38)+SUMIFS(Partidos!$R:$R,Partidos!$C:$C,Partidos!$X$2,Partidos!$F:$F,$B$3,Partidos!$D:$D,$A38)+SUMIFS(Partidos!$R:$R,Partidos!$C:$C,Partidos!$X$2,Partidos!$F:$F,$B$3,Partidos!$E:$E,$A38)+SUMIFS(Partidos!$R:$R,Partidos!$C:$C,Partidos!$X$2,Partidos!$G:$G,$B$3,Partidos!$D:$D,$A38)+SUMIFS(Partidos!$R:$R,Partidos!$C:$C,Partidos!$X$2,Partidos!$G:$G,$B$3,Partidos!$E:$E,$A38)))-(IF($A38="","",SUMIFS(Partidos!$R:$R,Partidos!$C:$C,Partidos!$X$2,Partidos!$D:$D,$B$3,Partidos!$F:$F,$A38)+SUMIFS(Partidos!$R:$R,Partidos!$C:$C,Partidos!$X$2,Partidos!$D:$D,$B$3,Partidos!$G:$G,$A38)+SUMIFS(Partidos!$R:$R,Partidos!$C:$C,Partidos!$X$2,Partidos!$E:$E,$B$3,Partidos!$F:$F,$A38)+SUMIFS(Partidos!$R:$R,Partidos!$C:$C,Partidos!$X$2,Partidos!$E:$E,$B$3,Partidos!$G:$G,$A38)+SUMIFS(Partidos!$Q:$Q,Partidos!$C:$C,Partidos!$X$2,Partidos!$F:$F,$B$3,Partidos!$D:$D,$A38)+SUMIFS(Partidos!$Q:$Q,Partidos!$C:$C,Partidos!$X$2,Partidos!$F:$F,$B$3,Partidos!$E:$E,$A38)+SUMIFS(Partidos!$Q:$Q,Partidos!$C:$C,Partidos!$X$2,Partidos!$G:$G,$B$3,Partidos!$D:$D,$A38)+SUMIFS(Partidos!$Q:$Q,Partidos!$C:$C,Partidos!$X$2,Partidos!$G:$G,$B$3,Partidos!$E:$E,$A38))))</f>
        <v/>
      </c>
      <c r="H38" s="2"/>
      <c r="J38" t="str">
        <f t="shared" ref="J38:J65" si="6">IF($A38="","",RANK($B38,$B$6:$B$65,0)+COUNTIFS($B$6:$B$65,$B38,$A$6:$A$65,"&gt;"&amp;$A38))</f>
        <v/>
      </c>
      <c r="K38" t="str">
        <f t="shared" ref="K38:K65" si="7">IF($A38="","",RANK($E38,$E$6:$E$65,0)+COUNTIFS($E$6:$E$65,$E38,$B$6:$B$65,"&gt;"&amp;$B38)+COUNTIFS($E$6:$E$65,$E38,$B$6:$B$65,$B38,$A$6:$A$65,"&gt;"&amp;$A38))</f>
        <v/>
      </c>
    </row>
    <row r="39" spans="1:11" x14ac:dyDescent="0.3">
      <c r="A39" s="6" t="str">
        <f>IF(Jugadores!B35="","",IF(Jugadores!B35=$B$3,"",Jugadores!B35))</f>
        <v/>
      </c>
      <c r="B39" s="2" t="str">
        <f>IF($A39="","",COUNTIFS(Partidos!$C:$C,Partidos!$X$2,Partidos!$D:$D,$B$3,Partidos!$F:$F,$A39)+COUNTIFS(Partidos!$C:$C,Partidos!$X$2,Partidos!$D:$D,$B$3,Partidos!$G:$G,$A39)+COUNTIFS(Partidos!$C:$C,Partidos!$X$2,Partidos!$E:$E,$B$3,Partidos!$F:$F,$A39)+COUNTIFS(Partidos!$C:$C,Partidos!$X$2,Partidos!$E:$E,$B$3,Partidos!$G:$G,$A39)+COUNTIFS(Partidos!$C:$C,Partidos!$X$2,Partidos!$F:$F,$B$3,Partidos!$D:$D,$A39)+COUNTIFS(Partidos!$C:$C,Partidos!$X$2,Partidos!$F:$F,$B$3,Partidos!$E:$E,$A39)+COUNTIFS(Partidos!$C:$C,Partidos!$X$2,Partidos!$G:$G,$B$3,Partidos!$D:$D,$A39)+COUNTIFS(Partidos!$C:$C,Partidos!$X$2,Partidos!$G:$G,$B$3,Partidos!$E:$E,$A39))</f>
        <v/>
      </c>
      <c r="C39" s="2" t="str">
        <f>IF($A39="","",COUNTIFS(Partidos!$C:$C,Partidos!$X$2,Partidos!$P:$P,"A",Partidos!$D:$D,$B$3,Partidos!$F:$F,$A39)+COUNTIFS(Partidos!$C:$C,Partidos!$X$2,Partidos!$P:$P,"A",Partidos!$D:$D,$B$3,Partidos!$G:$G,$A39)+COUNTIFS(Partidos!$C:$C,Partidos!$X$2,Partidos!$P:$P,"A",Partidos!$E:$E,$B$3,Partidos!$F:$F,$A39)+COUNTIFS(Partidos!$C:$C,Partidos!$X$2,Partidos!$P:$P,"A",Partidos!$E:$E,$B$3,Partidos!$G:$G,$A39)+COUNTIFS(Partidos!$C:$C,Partidos!$X$2,Partidos!$P:$P,"B",Partidos!$F:$F,$B$3,Partidos!$D:$D,$A39)+COUNTIFS(Partidos!$C:$C,Partidos!$X$2,Partidos!$P:$P,"B",Partidos!$F:$F,$B$3,Partidos!$E:$E,$A39)+COUNTIFS(Partidos!$C:$C,Partidos!$X$2,Partidos!$P:$P,"B",Partidos!$G:$G,$B$3,Partidos!$D:$D,$A39)+COUNTIFS(Partidos!$C:$C,Partidos!$X$2,Partidos!$P:$P,"B",Partidos!$G:$G,$B$3,Partidos!$E:$E,$A39))</f>
        <v/>
      </c>
      <c r="D39" s="2" t="str">
        <f t="shared" si="5"/>
        <v/>
      </c>
      <c r="E39" s="11" t="str">
        <f t="shared" si="3"/>
        <v/>
      </c>
      <c r="F39" s="13" t="str">
        <f>IF($A39="","",(IF($A39="","",SUMIFS(Partidos!$N:$N,Partidos!$C:$C,Partidos!$X$2,Partidos!$D:$D,$B$3,Partidos!$F:$F,$A39)+SUMIFS(Partidos!$N:$N,Partidos!$C:$C,Partidos!$X$2,Partidos!$D:$D,$B$3,Partidos!$G:$G,$A39)+SUMIFS(Partidos!$N:$N,Partidos!$C:$C,Partidos!$X$2,Partidos!$E:$E,$B$3,Partidos!$F:$F,$A39)+SUMIFS(Partidos!$N:$N,Partidos!$C:$C,Partidos!$X$2,Partidos!$E:$E,$B$3,Partidos!$G:$G,$A39)+SUMIFS(Partidos!$O:$O,Partidos!$C:$C,Partidos!$X$2,Partidos!$F:$F,$B$3,Partidos!$D:$D,$A39)+SUMIFS(Partidos!$O:$O,Partidos!$C:$C,Partidos!$X$2,Partidos!$F:$F,$B$3,Partidos!$E:$E,$A39)+SUMIFS(Partidos!$O:$O,Partidos!$C:$C,Partidos!$X$2,Partidos!$G:$G,$B$3,Partidos!$D:$D,$A39)+SUMIFS(Partidos!$O:$O,Partidos!$C:$C,Partidos!$X$2,Partidos!$G:$G,$B$3,Partidos!$E:$E,$A39)))&amp;"-"&amp;(IF($A39="","",SUMIFS(Partidos!$O:$O,Partidos!$C:$C,Partidos!$X$2,Partidos!$D:$D,$B$3,Partidos!$F:$F,$A39)+SUMIFS(Partidos!$O:$O,Partidos!$C:$C,Partidos!$X$2,Partidos!$D:$D,$B$3,Partidos!$G:$G,$A39)+SUMIFS(Partidos!$O:$O,Partidos!$C:$C,Partidos!$X$2,Partidos!$E:$E,$B$3,Partidos!$F:$F,$A39)+SUMIFS(Partidos!$O:$O,Partidos!$C:$C,Partidos!$X$2,Partidos!$E:$E,$B$3,Partidos!$G:$G,$A39)+SUMIFS(Partidos!$N:$N,Partidos!$C:$C,Partidos!$X$2,Partidos!$F:$F,$B$3,Partidos!$D:$D,$A39)+SUMIFS(Partidos!$N:$N,Partidos!$C:$C,Partidos!$X$2,Partidos!$F:$F,$B$3,Partidos!$E:$E,$A39)+SUMIFS(Partidos!$N:$N,Partidos!$C:$C,Partidos!$X$2,Partidos!$G:$G,$B$3,Partidos!$D:$D,$A39)+SUMIFS(Partidos!$N:$N,Partidos!$C:$C,Partidos!$X$2,Partidos!$G:$G,$B$3,Partidos!$E:$E,$A39))))</f>
        <v/>
      </c>
      <c r="G39" s="10" t="str">
        <f>IF($A39="","",(IF($A39="","",SUMIFS(Partidos!$Q:$Q,Partidos!$C:$C,Partidos!$X$2,Partidos!$D:$D,$B$3,Partidos!$F:$F,$A39)+SUMIFS(Partidos!$Q:$Q,Partidos!$C:$C,Partidos!$X$2,Partidos!$D:$D,$B$3,Partidos!$G:$G,$A39)+SUMIFS(Partidos!$Q:$Q,Partidos!$C:$C,Partidos!$X$2,Partidos!$E:$E,$B$3,Partidos!$F:$F,$A39)+SUMIFS(Partidos!$Q:$Q,Partidos!$C:$C,Partidos!$X$2,Partidos!$E:$E,$B$3,Partidos!$G:$G,$A39)+SUMIFS(Partidos!$R:$R,Partidos!$C:$C,Partidos!$X$2,Partidos!$F:$F,$B$3,Partidos!$D:$D,$A39)+SUMIFS(Partidos!$R:$R,Partidos!$C:$C,Partidos!$X$2,Partidos!$F:$F,$B$3,Partidos!$E:$E,$A39)+SUMIFS(Partidos!$R:$R,Partidos!$C:$C,Partidos!$X$2,Partidos!$G:$G,$B$3,Partidos!$D:$D,$A39)+SUMIFS(Partidos!$R:$R,Partidos!$C:$C,Partidos!$X$2,Partidos!$G:$G,$B$3,Partidos!$E:$E,$A39)))-(IF($A39="","",SUMIFS(Partidos!$R:$R,Partidos!$C:$C,Partidos!$X$2,Partidos!$D:$D,$B$3,Partidos!$F:$F,$A39)+SUMIFS(Partidos!$R:$R,Partidos!$C:$C,Partidos!$X$2,Partidos!$D:$D,$B$3,Partidos!$G:$G,$A39)+SUMIFS(Partidos!$R:$R,Partidos!$C:$C,Partidos!$X$2,Partidos!$E:$E,$B$3,Partidos!$F:$F,$A39)+SUMIFS(Partidos!$R:$R,Partidos!$C:$C,Partidos!$X$2,Partidos!$E:$E,$B$3,Partidos!$G:$G,$A39)+SUMIFS(Partidos!$Q:$Q,Partidos!$C:$C,Partidos!$X$2,Partidos!$F:$F,$B$3,Partidos!$D:$D,$A39)+SUMIFS(Partidos!$Q:$Q,Partidos!$C:$C,Partidos!$X$2,Partidos!$F:$F,$B$3,Partidos!$E:$E,$A39)+SUMIFS(Partidos!$Q:$Q,Partidos!$C:$C,Partidos!$X$2,Partidos!$G:$G,$B$3,Partidos!$D:$D,$A39)+SUMIFS(Partidos!$Q:$Q,Partidos!$C:$C,Partidos!$X$2,Partidos!$G:$G,$B$3,Partidos!$E:$E,$A39))))</f>
        <v/>
      </c>
      <c r="H39" s="2"/>
      <c r="J39" t="str">
        <f t="shared" si="6"/>
        <v/>
      </c>
      <c r="K39" t="str">
        <f t="shared" si="7"/>
        <v/>
      </c>
    </row>
    <row r="40" spans="1:11" x14ac:dyDescent="0.3">
      <c r="A40" s="6" t="str">
        <f>IF(Jugadores!B36="","",IF(Jugadores!B36=$B$3,"",Jugadores!B36))</f>
        <v/>
      </c>
      <c r="B40" s="2" t="str">
        <f>IF($A40="","",COUNTIFS(Partidos!$C:$C,Partidos!$X$2,Partidos!$D:$D,$B$3,Partidos!$F:$F,$A40)+COUNTIFS(Partidos!$C:$C,Partidos!$X$2,Partidos!$D:$D,$B$3,Partidos!$G:$G,$A40)+COUNTIFS(Partidos!$C:$C,Partidos!$X$2,Partidos!$E:$E,$B$3,Partidos!$F:$F,$A40)+COUNTIFS(Partidos!$C:$C,Partidos!$X$2,Partidos!$E:$E,$B$3,Partidos!$G:$G,$A40)+COUNTIFS(Partidos!$C:$C,Partidos!$X$2,Partidos!$F:$F,$B$3,Partidos!$D:$D,$A40)+COUNTIFS(Partidos!$C:$C,Partidos!$X$2,Partidos!$F:$F,$B$3,Partidos!$E:$E,$A40)+COUNTIFS(Partidos!$C:$C,Partidos!$X$2,Partidos!$G:$G,$B$3,Partidos!$D:$D,$A40)+COUNTIFS(Partidos!$C:$C,Partidos!$X$2,Partidos!$G:$G,$B$3,Partidos!$E:$E,$A40))</f>
        <v/>
      </c>
      <c r="C40" s="2" t="str">
        <f>IF($A40="","",COUNTIFS(Partidos!$C:$C,Partidos!$X$2,Partidos!$P:$P,"A",Partidos!$D:$D,$B$3,Partidos!$F:$F,$A40)+COUNTIFS(Partidos!$C:$C,Partidos!$X$2,Partidos!$P:$P,"A",Partidos!$D:$D,$B$3,Partidos!$G:$G,$A40)+COUNTIFS(Partidos!$C:$C,Partidos!$X$2,Partidos!$P:$P,"A",Partidos!$E:$E,$B$3,Partidos!$F:$F,$A40)+COUNTIFS(Partidos!$C:$C,Partidos!$X$2,Partidos!$P:$P,"A",Partidos!$E:$E,$B$3,Partidos!$G:$G,$A40)+COUNTIFS(Partidos!$C:$C,Partidos!$X$2,Partidos!$P:$P,"B",Partidos!$F:$F,$B$3,Partidos!$D:$D,$A40)+COUNTIFS(Partidos!$C:$C,Partidos!$X$2,Partidos!$P:$P,"B",Partidos!$F:$F,$B$3,Partidos!$E:$E,$A40)+COUNTIFS(Partidos!$C:$C,Partidos!$X$2,Partidos!$P:$P,"B",Partidos!$G:$G,$B$3,Partidos!$D:$D,$A40)+COUNTIFS(Partidos!$C:$C,Partidos!$X$2,Partidos!$P:$P,"B",Partidos!$G:$G,$B$3,Partidos!$E:$E,$A40))</f>
        <v/>
      </c>
      <c r="D40" s="2" t="str">
        <f t="shared" si="5"/>
        <v/>
      </c>
      <c r="E40" s="11" t="str">
        <f t="shared" si="3"/>
        <v/>
      </c>
      <c r="F40" s="13" t="str">
        <f>IF($A40="","",(IF($A40="","",SUMIFS(Partidos!$N:$N,Partidos!$C:$C,Partidos!$X$2,Partidos!$D:$D,$B$3,Partidos!$F:$F,$A40)+SUMIFS(Partidos!$N:$N,Partidos!$C:$C,Partidos!$X$2,Partidos!$D:$D,$B$3,Partidos!$G:$G,$A40)+SUMIFS(Partidos!$N:$N,Partidos!$C:$C,Partidos!$X$2,Partidos!$E:$E,$B$3,Partidos!$F:$F,$A40)+SUMIFS(Partidos!$N:$N,Partidos!$C:$C,Partidos!$X$2,Partidos!$E:$E,$B$3,Partidos!$G:$G,$A40)+SUMIFS(Partidos!$O:$O,Partidos!$C:$C,Partidos!$X$2,Partidos!$F:$F,$B$3,Partidos!$D:$D,$A40)+SUMIFS(Partidos!$O:$O,Partidos!$C:$C,Partidos!$X$2,Partidos!$F:$F,$B$3,Partidos!$E:$E,$A40)+SUMIFS(Partidos!$O:$O,Partidos!$C:$C,Partidos!$X$2,Partidos!$G:$G,$B$3,Partidos!$D:$D,$A40)+SUMIFS(Partidos!$O:$O,Partidos!$C:$C,Partidos!$X$2,Partidos!$G:$G,$B$3,Partidos!$E:$E,$A40)))&amp;"-"&amp;(IF($A40="","",SUMIFS(Partidos!$O:$O,Partidos!$C:$C,Partidos!$X$2,Partidos!$D:$D,$B$3,Partidos!$F:$F,$A40)+SUMIFS(Partidos!$O:$O,Partidos!$C:$C,Partidos!$X$2,Partidos!$D:$D,$B$3,Partidos!$G:$G,$A40)+SUMIFS(Partidos!$O:$O,Partidos!$C:$C,Partidos!$X$2,Partidos!$E:$E,$B$3,Partidos!$F:$F,$A40)+SUMIFS(Partidos!$O:$O,Partidos!$C:$C,Partidos!$X$2,Partidos!$E:$E,$B$3,Partidos!$G:$G,$A40)+SUMIFS(Partidos!$N:$N,Partidos!$C:$C,Partidos!$X$2,Partidos!$F:$F,$B$3,Partidos!$D:$D,$A40)+SUMIFS(Partidos!$N:$N,Partidos!$C:$C,Partidos!$X$2,Partidos!$F:$F,$B$3,Partidos!$E:$E,$A40)+SUMIFS(Partidos!$N:$N,Partidos!$C:$C,Partidos!$X$2,Partidos!$G:$G,$B$3,Partidos!$D:$D,$A40)+SUMIFS(Partidos!$N:$N,Partidos!$C:$C,Partidos!$X$2,Partidos!$G:$G,$B$3,Partidos!$E:$E,$A40))))</f>
        <v/>
      </c>
      <c r="G40" s="10" t="str">
        <f>IF($A40="","",(IF($A40="","",SUMIFS(Partidos!$Q:$Q,Partidos!$C:$C,Partidos!$X$2,Partidos!$D:$D,$B$3,Partidos!$F:$F,$A40)+SUMIFS(Partidos!$Q:$Q,Partidos!$C:$C,Partidos!$X$2,Partidos!$D:$D,$B$3,Partidos!$G:$G,$A40)+SUMIFS(Partidos!$Q:$Q,Partidos!$C:$C,Partidos!$X$2,Partidos!$E:$E,$B$3,Partidos!$F:$F,$A40)+SUMIFS(Partidos!$Q:$Q,Partidos!$C:$C,Partidos!$X$2,Partidos!$E:$E,$B$3,Partidos!$G:$G,$A40)+SUMIFS(Partidos!$R:$R,Partidos!$C:$C,Partidos!$X$2,Partidos!$F:$F,$B$3,Partidos!$D:$D,$A40)+SUMIFS(Partidos!$R:$R,Partidos!$C:$C,Partidos!$X$2,Partidos!$F:$F,$B$3,Partidos!$E:$E,$A40)+SUMIFS(Partidos!$R:$R,Partidos!$C:$C,Partidos!$X$2,Partidos!$G:$G,$B$3,Partidos!$D:$D,$A40)+SUMIFS(Partidos!$R:$R,Partidos!$C:$C,Partidos!$X$2,Partidos!$G:$G,$B$3,Partidos!$E:$E,$A40)))-(IF($A40="","",SUMIFS(Partidos!$R:$R,Partidos!$C:$C,Partidos!$X$2,Partidos!$D:$D,$B$3,Partidos!$F:$F,$A40)+SUMIFS(Partidos!$R:$R,Partidos!$C:$C,Partidos!$X$2,Partidos!$D:$D,$B$3,Partidos!$G:$G,$A40)+SUMIFS(Partidos!$R:$R,Partidos!$C:$C,Partidos!$X$2,Partidos!$E:$E,$B$3,Partidos!$F:$F,$A40)+SUMIFS(Partidos!$R:$R,Partidos!$C:$C,Partidos!$X$2,Partidos!$E:$E,$B$3,Partidos!$G:$G,$A40)+SUMIFS(Partidos!$Q:$Q,Partidos!$C:$C,Partidos!$X$2,Partidos!$F:$F,$B$3,Partidos!$D:$D,$A40)+SUMIFS(Partidos!$Q:$Q,Partidos!$C:$C,Partidos!$X$2,Partidos!$F:$F,$B$3,Partidos!$E:$E,$A40)+SUMIFS(Partidos!$Q:$Q,Partidos!$C:$C,Partidos!$X$2,Partidos!$G:$G,$B$3,Partidos!$D:$D,$A40)+SUMIFS(Partidos!$Q:$Q,Partidos!$C:$C,Partidos!$X$2,Partidos!$G:$G,$B$3,Partidos!$E:$E,$A40))))</f>
        <v/>
      </c>
      <c r="H40" s="2"/>
      <c r="J40" t="str">
        <f t="shared" si="6"/>
        <v/>
      </c>
      <c r="K40" t="str">
        <f t="shared" si="7"/>
        <v/>
      </c>
    </row>
    <row r="41" spans="1:11" x14ac:dyDescent="0.3">
      <c r="A41" s="6" t="str">
        <f>IF(Jugadores!B37="","",IF(Jugadores!B37=$B$3,"",Jugadores!B37))</f>
        <v/>
      </c>
      <c r="B41" s="2" t="str">
        <f>IF($A41="","",COUNTIFS(Partidos!$C:$C,Partidos!$X$2,Partidos!$D:$D,$B$3,Partidos!$F:$F,$A41)+COUNTIFS(Partidos!$C:$C,Partidos!$X$2,Partidos!$D:$D,$B$3,Partidos!$G:$G,$A41)+COUNTIFS(Partidos!$C:$C,Partidos!$X$2,Partidos!$E:$E,$B$3,Partidos!$F:$F,$A41)+COUNTIFS(Partidos!$C:$C,Partidos!$X$2,Partidos!$E:$E,$B$3,Partidos!$G:$G,$A41)+COUNTIFS(Partidos!$C:$C,Partidos!$X$2,Partidos!$F:$F,$B$3,Partidos!$D:$D,$A41)+COUNTIFS(Partidos!$C:$C,Partidos!$X$2,Partidos!$F:$F,$B$3,Partidos!$E:$E,$A41)+COUNTIFS(Partidos!$C:$C,Partidos!$X$2,Partidos!$G:$G,$B$3,Partidos!$D:$D,$A41)+COUNTIFS(Partidos!$C:$C,Partidos!$X$2,Partidos!$G:$G,$B$3,Partidos!$E:$E,$A41))</f>
        <v/>
      </c>
      <c r="C41" s="2" t="str">
        <f>IF($A41="","",COUNTIFS(Partidos!$C:$C,Partidos!$X$2,Partidos!$P:$P,"A",Partidos!$D:$D,$B$3,Partidos!$F:$F,$A41)+COUNTIFS(Partidos!$C:$C,Partidos!$X$2,Partidos!$P:$P,"A",Partidos!$D:$D,$B$3,Partidos!$G:$G,$A41)+COUNTIFS(Partidos!$C:$C,Partidos!$X$2,Partidos!$P:$P,"A",Partidos!$E:$E,$B$3,Partidos!$F:$F,$A41)+COUNTIFS(Partidos!$C:$C,Partidos!$X$2,Partidos!$P:$P,"A",Partidos!$E:$E,$B$3,Partidos!$G:$G,$A41)+COUNTIFS(Partidos!$C:$C,Partidos!$X$2,Partidos!$P:$P,"B",Partidos!$F:$F,$B$3,Partidos!$D:$D,$A41)+COUNTIFS(Partidos!$C:$C,Partidos!$X$2,Partidos!$P:$P,"B",Partidos!$F:$F,$B$3,Partidos!$E:$E,$A41)+COUNTIFS(Partidos!$C:$C,Partidos!$X$2,Partidos!$P:$P,"B",Partidos!$G:$G,$B$3,Partidos!$D:$D,$A41)+COUNTIFS(Partidos!$C:$C,Partidos!$X$2,Partidos!$P:$P,"B",Partidos!$G:$G,$B$3,Partidos!$E:$E,$A41))</f>
        <v/>
      </c>
      <c r="D41" s="2" t="str">
        <f t="shared" si="5"/>
        <v/>
      </c>
      <c r="E41" s="11" t="str">
        <f t="shared" si="3"/>
        <v/>
      </c>
      <c r="F41" s="13" t="str">
        <f>IF($A41="","",(IF($A41="","",SUMIFS(Partidos!$N:$N,Partidos!$C:$C,Partidos!$X$2,Partidos!$D:$D,$B$3,Partidos!$F:$F,$A41)+SUMIFS(Partidos!$N:$N,Partidos!$C:$C,Partidos!$X$2,Partidos!$D:$D,$B$3,Partidos!$G:$G,$A41)+SUMIFS(Partidos!$N:$N,Partidos!$C:$C,Partidos!$X$2,Partidos!$E:$E,$B$3,Partidos!$F:$F,$A41)+SUMIFS(Partidos!$N:$N,Partidos!$C:$C,Partidos!$X$2,Partidos!$E:$E,$B$3,Partidos!$G:$G,$A41)+SUMIFS(Partidos!$O:$O,Partidos!$C:$C,Partidos!$X$2,Partidos!$F:$F,$B$3,Partidos!$D:$D,$A41)+SUMIFS(Partidos!$O:$O,Partidos!$C:$C,Partidos!$X$2,Partidos!$F:$F,$B$3,Partidos!$E:$E,$A41)+SUMIFS(Partidos!$O:$O,Partidos!$C:$C,Partidos!$X$2,Partidos!$G:$G,$B$3,Partidos!$D:$D,$A41)+SUMIFS(Partidos!$O:$O,Partidos!$C:$C,Partidos!$X$2,Partidos!$G:$G,$B$3,Partidos!$E:$E,$A41)))&amp;"-"&amp;(IF($A41="","",SUMIFS(Partidos!$O:$O,Partidos!$C:$C,Partidos!$X$2,Partidos!$D:$D,$B$3,Partidos!$F:$F,$A41)+SUMIFS(Partidos!$O:$O,Partidos!$C:$C,Partidos!$X$2,Partidos!$D:$D,$B$3,Partidos!$G:$G,$A41)+SUMIFS(Partidos!$O:$O,Partidos!$C:$C,Partidos!$X$2,Partidos!$E:$E,$B$3,Partidos!$F:$F,$A41)+SUMIFS(Partidos!$O:$O,Partidos!$C:$C,Partidos!$X$2,Partidos!$E:$E,$B$3,Partidos!$G:$G,$A41)+SUMIFS(Partidos!$N:$N,Partidos!$C:$C,Partidos!$X$2,Partidos!$F:$F,$B$3,Partidos!$D:$D,$A41)+SUMIFS(Partidos!$N:$N,Partidos!$C:$C,Partidos!$X$2,Partidos!$F:$F,$B$3,Partidos!$E:$E,$A41)+SUMIFS(Partidos!$N:$N,Partidos!$C:$C,Partidos!$X$2,Partidos!$G:$G,$B$3,Partidos!$D:$D,$A41)+SUMIFS(Partidos!$N:$N,Partidos!$C:$C,Partidos!$X$2,Partidos!$G:$G,$B$3,Partidos!$E:$E,$A41))))</f>
        <v/>
      </c>
      <c r="G41" s="10" t="str">
        <f>IF($A41="","",(IF($A41="","",SUMIFS(Partidos!$Q:$Q,Partidos!$C:$C,Partidos!$X$2,Partidos!$D:$D,$B$3,Partidos!$F:$F,$A41)+SUMIFS(Partidos!$Q:$Q,Partidos!$C:$C,Partidos!$X$2,Partidos!$D:$D,$B$3,Partidos!$G:$G,$A41)+SUMIFS(Partidos!$Q:$Q,Partidos!$C:$C,Partidos!$X$2,Partidos!$E:$E,$B$3,Partidos!$F:$F,$A41)+SUMIFS(Partidos!$Q:$Q,Partidos!$C:$C,Partidos!$X$2,Partidos!$E:$E,$B$3,Partidos!$G:$G,$A41)+SUMIFS(Partidos!$R:$R,Partidos!$C:$C,Partidos!$X$2,Partidos!$F:$F,$B$3,Partidos!$D:$D,$A41)+SUMIFS(Partidos!$R:$R,Partidos!$C:$C,Partidos!$X$2,Partidos!$F:$F,$B$3,Partidos!$E:$E,$A41)+SUMIFS(Partidos!$R:$R,Partidos!$C:$C,Partidos!$X$2,Partidos!$G:$G,$B$3,Partidos!$D:$D,$A41)+SUMIFS(Partidos!$R:$R,Partidos!$C:$C,Partidos!$X$2,Partidos!$G:$G,$B$3,Partidos!$E:$E,$A41)))-(IF($A41="","",SUMIFS(Partidos!$R:$R,Partidos!$C:$C,Partidos!$X$2,Partidos!$D:$D,$B$3,Partidos!$F:$F,$A41)+SUMIFS(Partidos!$R:$R,Partidos!$C:$C,Partidos!$X$2,Partidos!$D:$D,$B$3,Partidos!$G:$G,$A41)+SUMIFS(Partidos!$R:$R,Partidos!$C:$C,Partidos!$X$2,Partidos!$E:$E,$B$3,Partidos!$F:$F,$A41)+SUMIFS(Partidos!$R:$R,Partidos!$C:$C,Partidos!$X$2,Partidos!$E:$E,$B$3,Partidos!$G:$G,$A41)+SUMIFS(Partidos!$Q:$Q,Partidos!$C:$C,Partidos!$X$2,Partidos!$F:$F,$B$3,Partidos!$D:$D,$A41)+SUMIFS(Partidos!$Q:$Q,Partidos!$C:$C,Partidos!$X$2,Partidos!$F:$F,$B$3,Partidos!$E:$E,$A41)+SUMIFS(Partidos!$Q:$Q,Partidos!$C:$C,Partidos!$X$2,Partidos!$G:$G,$B$3,Partidos!$D:$D,$A41)+SUMIFS(Partidos!$Q:$Q,Partidos!$C:$C,Partidos!$X$2,Partidos!$G:$G,$B$3,Partidos!$E:$E,$A41))))</f>
        <v/>
      </c>
      <c r="H41" s="2"/>
      <c r="J41" t="str">
        <f t="shared" si="6"/>
        <v/>
      </c>
      <c r="K41" t="str">
        <f t="shared" si="7"/>
        <v/>
      </c>
    </row>
    <row r="42" spans="1:11" x14ac:dyDescent="0.3">
      <c r="A42" s="6" t="str">
        <f>IF(Jugadores!B38="","",IF(Jugadores!B38=$B$3,"",Jugadores!B38))</f>
        <v/>
      </c>
      <c r="B42" s="2" t="str">
        <f>IF($A42="","",COUNTIFS(Partidos!$C:$C,Partidos!$X$2,Partidos!$D:$D,$B$3,Partidos!$F:$F,$A42)+COUNTIFS(Partidos!$C:$C,Partidos!$X$2,Partidos!$D:$D,$B$3,Partidos!$G:$G,$A42)+COUNTIFS(Partidos!$C:$C,Partidos!$X$2,Partidos!$E:$E,$B$3,Partidos!$F:$F,$A42)+COUNTIFS(Partidos!$C:$C,Partidos!$X$2,Partidos!$E:$E,$B$3,Partidos!$G:$G,$A42)+COUNTIFS(Partidos!$C:$C,Partidos!$X$2,Partidos!$F:$F,$B$3,Partidos!$D:$D,$A42)+COUNTIFS(Partidos!$C:$C,Partidos!$X$2,Partidos!$F:$F,$B$3,Partidos!$E:$E,$A42)+COUNTIFS(Partidos!$C:$C,Partidos!$X$2,Partidos!$G:$G,$B$3,Partidos!$D:$D,$A42)+COUNTIFS(Partidos!$C:$C,Partidos!$X$2,Partidos!$G:$G,$B$3,Partidos!$E:$E,$A42))</f>
        <v/>
      </c>
      <c r="C42" s="2" t="str">
        <f>IF($A42="","",COUNTIFS(Partidos!$C:$C,Partidos!$X$2,Partidos!$P:$P,"A",Partidos!$D:$D,$B$3,Partidos!$F:$F,$A42)+COUNTIFS(Partidos!$C:$C,Partidos!$X$2,Partidos!$P:$P,"A",Partidos!$D:$D,$B$3,Partidos!$G:$G,$A42)+COUNTIFS(Partidos!$C:$C,Partidos!$X$2,Partidos!$P:$P,"A",Partidos!$E:$E,$B$3,Partidos!$F:$F,$A42)+COUNTIFS(Partidos!$C:$C,Partidos!$X$2,Partidos!$P:$P,"A",Partidos!$E:$E,$B$3,Partidos!$G:$G,$A42)+COUNTIFS(Partidos!$C:$C,Partidos!$X$2,Partidos!$P:$P,"B",Partidos!$F:$F,$B$3,Partidos!$D:$D,$A42)+COUNTIFS(Partidos!$C:$C,Partidos!$X$2,Partidos!$P:$P,"B",Partidos!$F:$F,$B$3,Partidos!$E:$E,$A42)+COUNTIFS(Partidos!$C:$C,Partidos!$X$2,Partidos!$P:$P,"B",Partidos!$G:$G,$B$3,Partidos!$D:$D,$A42)+COUNTIFS(Partidos!$C:$C,Partidos!$X$2,Partidos!$P:$P,"B",Partidos!$G:$G,$B$3,Partidos!$E:$E,$A42))</f>
        <v/>
      </c>
      <c r="D42" s="2" t="str">
        <f t="shared" si="5"/>
        <v/>
      </c>
      <c r="E42" s="11" t="str">
        <f t="shared" si="3"/>
        <v/>
      </c>
      <c r="F42" s="13" t="str">
        <f>IF($A42="","",(IF($A42="","",SUMIFS(Partidos!$N:$N,Partidos!$C:$C,Partidos!$X$2,Partidos!$D:$D,$B$3,Partidos!$F:$F,$A42)+SUMIFS(Partidos!$N:$N,Partidos!$C:$C,Partidos!$X$2,Partidos!$D:$D,$B$3,Partidos!$G:$G,$A42)+SUMIFS(Partidos!$N:$N,Partidos!$C:$C,Partidos!$X$2,Partidos!$E:$E,$B$3,Partidos!$F:$F,$A42)+SUMIFS(Partidos!$N:$N,Partidos!$C:$C,Partidos!$X$2,Partidos!$E:$E,$B$3,Partidos!$G:$G,$A42)+SUMIFS(Partidos!$O:$O,Partidos!$C:$C,Partidos!$X$2,Partidos!$F:$F,$B$3,Partidos!$D:$D,$A42)+SUMIFS(Partidos!$O:$O,Partidos!$C:$C,Partidos!$X$2,Partidos!$F:$F,$B$3,Partidos!$E:$E,$A42)+SUMIFS(Partidos!$O:$O,Partidos!$C:$C,Partidos!$X$2,Partidos!$G:$G,$B$3,Partidos!$D:$D,$A42)+SUMIFS(Partidos!$O:$O,Partidos!$C:$C,Partidos!$X$2,Partidos!$G:$G,$B$3,Partidos!$E:$E,$A42)))&amp;"-"&amp;(IF($A42="","",SUMIFS(Partidos!$O:$O,Partidos!$C:$C,Partidos!$X$2,Partidos!$D:$D,$B$3,Partidos!$F:$F,$A42)+SUMIFS(Partidos!$O:$O,Partidos!$C:$C,Partidos!$X$2,Partidos!$D:$D,$B$3,Partidos!$G:$G,$A42)+SUMIFS(Partidos!$O:$O,Partidos!$C:$C,Partidos!$X$2,Partidos!$E:$E,$B$3,Partidos!$F:$F,$A42)+SUMIFS(Partidos!$O:$O,Partidos!$C:$C,Partidos!$X$2,Partidos!$E:$E,$B$3,Partidos!$G:$G,$A42)+SUMIFS(Partidos!$N:$N,Partidos!$C:$C,Partidos!$X$2,Partidos!$F:$F,$B$3,Partidos!$D:$D,$A42)+SUMIFS(Partidos!$N:$N,Partidos!$C:$C,Partidos!$X$2,Partidos!$F:$F,$B$3,Partidos!$E:$E,$A42)+SUMIFS(Partidos!$N:$N,Partidos!$C:$C,Partidos!$X$2,Partidos!$G:$G,$B$3,Partidos!$D:$D,$A42)+SUMIFS(Partidos!$N:$N,Partidos!$C:$C,Partidos!$X$2,Partidos!$G:$G,$B$3,Partidos!$E:$E,$A42))))</f>
        <v/>
      </c>
      <c r="G42" s="10" t="str">
        <f>IF($A42="","",(IF($A42="","",SUMIFS(Partidos!$Q:$Q,Partidos!$C:$C,Partidos!$X$2,Partidos!$D:$D,$B$3,Partidos!$F:$F,$A42)+SUMIFS(Partidos!$Q:$Q,Partidos!$C:$C,Partidos!$X$2,Partidos!$D:$D,$B$3,Partidos!$G:$G,$A42)+SUMIFS(Partidos!$Q:$Q,Partidos!$C:$C,Partidos!$X$2,Partidos!$E:$E,$B$3,Partidos!$F:$F,$A42)+SUMIFS(Partidos!$Q:$Q,Partidos!$C:$C,Partidos!$X$2,Partidos!$E:$E,$B$3,Partidos!$G:$G,$A42)+SUMIFS(Partidos!$R:$R,Partidos!$C:$C,Partidos!$X$2,Partidos!$F:$F,$B$3,Partidos!$D:$D,$A42)+SUMIFS(Partidos!$R:$R,Partidos!$C:$C,Partidos!$X$2,Partidos!$F:$F,$B$3,Partidos!$E:$E,$A42)+SUMIFS(Partidos!$R:$R,Partidos!$C:$C,Partidos!$X$2,Partidos!$G:$G,$B$3,Partidos!$D:$D,$A42)+SUMIFS(Partidos!$R:$R,Partidos!$C:$C,Partidos!$X$2,Partidos!$G:$G,$B$3,Partidos!$E:$E,$A42)))-(IF($A42="","",SUMIFS(Partidos!$R:$R,Partidos!$C:$C,Partidos!$X$2,Partidos!$D:$D,$B$3,Partidos!$F:$F,$A42)+SUMIFS(Partidos!$R:$R,Partidos!$C:$C,Partidos!$X$2,Partidos!$D:$D,$B$3,Partidos!$G:$G,$A42)+SUMIFS(Partidos!$R:$R,Partidos!$C:$C,Partidos!$X$2,Partidos!$E:$E,$B$3,Partidos!$F:$F,$A42)+SUMIFS(Partidos!$R:$R,Partidos!$C:$C,Partidos!$X$2,Partidos!$E:$E,$B$3,Partidos!$G:$G,$A42)+SUMIFS(Partidos!$Q:$Q,Partidos!$C:$C,Partidos!$X$2,Partidos!$F:$F,$B$3,Partidos!$D:$D,$A42)+SUMIFS(Partidos!$Q:$Q,Partidos!$C:$C,Partidos!$X$2,Partidos!$F:$F,$B$3,Partidos!$E:$E,$A42)+SUMIFS(Partidos!$Q:$Q,Partidos!$C:$C,Partidos!$X$2,Partidos!$G:$G,$B$3,Partidos!$D:$D,$A42)+SUMIFS(Partidos!$Q:$Q,Partidos!$C:$C,Partidos!$X$2,Partidos!$G:$G,$B$3,Partidos!$E:$E,$A42))))</f>
        <v/>
      </c>
      <c r="H42" s="2"/>
      <c r="J42" t="str">
        <f t="shared" si="6"/>
        <v/>
      </c>
      <c r="K42" t="str">
        <f t="shared" si="7"/>
        <v/>
      </c>
    </row>
    <row r="43" spans="1:11" x14ac:dyDescent="0.3">
      <c r="A43" s="6" t="str">
        <f>IF(Jugadores!B39="","",IF(Jugadores!B39=$B$3,"",Jugadores!B39))</f>
        <v/>
      </c>
      <c r="B43" s="2" t="str">
        <f>IF($A43="","",COUNTIFS(Partidos!$C:$C,Partidos!$X$2,Partidos!$D:$D,$B$3,Partidos!$F:$F,$A43)+COUNTIFS(Partidos!$C:$C,Partidos!$X$2,Partidos!$D:$D,$B$3,Partidos!$G:$G,$A43)+COUNTIFS(Partidos!$C:$C,Partidos!$X$2,Partidos!$E:$E,$B$3,Partidos!$F:$F,$A43)+COUNTIFS(Partidos!$C:$C,Partidos!$X$2,Partidos!$E:$E,$B$3,Partidos!$G:$G,$A43)+COUNTIFS(Partidos!$C:$C,Partidos!$X$2,Partidos!$F:$F,$B$3,Partidos!$D:$D,$A43)+COUNTIFS(Partidos!$C:$C,Partidos!$X$2,Partidos!$F:$F,$B$3,Partidos!$E:$E,$A43)+COUNTIFS(Partidos!$C:$C,Partidos!$X$2,Partidos!$G:$G,$B$3,Partidos!$D:$D,$A43)+COUNTIFS(Partidos!$C:$C,Partidos!$X$2,Partidos!$G:$G,$B$3,Partidos!$E:$E,$A43))</f>
        <v/>
      </c>
      <c r="C43" s="2" t="str">
        <f>IF($A43="","",COUNTIFS(Partidos!$C:$C,Partidos!$X$2,Partidos!$P:$P,"A",Partidos!$D:$D,$B$3,Partidos!$F:$F,$A43)+COUNTIFS(Partidos!$C:$C,Partidos!$X$2,Partidos!$P:$P,"A",Partidos!$D:$D,$B$3,Partidos!$G:$G,$A43)+COUNTIFS(Partidos!$C:$C,Partidos!$X$2,Partidos!$P:$P,"A",Partidos!$E:$E,$B$3,Partidos!$F:$F,$A43)+COUNTIFS(Partidos!$C:$C,Partidos!$X$2,Partidos!$P:$P,"A",Partidos!$E:$E,$B$3,Partidos!$G:$G,$A43)+COUNTIFS(Partidos!$C:$C,Partidos!$X$2,Partidos!$P:$P,"B",Partidos!$F:$F,$B$3,Partidos!$D:$D,$A43)+COUNTIFS(Partidos!$C:$C,Partidos!$X$2,Partidos!$P:$P,"B",Partidos!$F:$F,$B$3,Partidos!$E:$E,$A43)+COUNTIFS(Partidos!$C:$C,Partidos!$X$2,Partidos!$P:$P,"B",Partidos!$G:$G,$B$3,Partidos!$D:$D,$A43)+COUNTIFS(Partidos!$C:$C,Partidos!$X$2,Partidos!$P:$P,"B",Partidos!$G:$G,$B$3,Partidos!$E:$E,$A43))</f>
        <v/>
      </c>
      <c r="D43" s="2" t="str">
        <f t="shared" si="5"/>
        <v/>
      </c>
      <c r="E43" s="11" t="str">
        <f t="shared" si="3"/>
        <v/>
      </c>
      <c r="F43" s="13" t="str">
        <f>IF($A43="","",(IF($A43="","",SUMIFS(Partidos!$N:$N,Partidos!$C:$C,Partidos!$X$2,Partidos!$D:$D,$B$3,Partidos!$F:$F,$A43)+SUMIFS(Partidos!$N:$N,Partidos!$C:$C,Partidos!$X$2,Partidos!$D:$D,$B$3,Partidos!$G:$G,$A43)+SUMIFS(Partidos!$N:$N,Partidos!$C:$C,Partidos!$X$2,Partidos!$E:$E,$B$3,Partidos!$F:$F,$A43)+SUMIFS(Partidos!$N:$N,Partidos!$C:$C,Partidos!$X$2,Partidos!$E:$E,$B$3,Partidos!$G:$G,$A43)+SUMIFS(Partidos!$O:$O,Partidos!$C:$C,Partidos!$X$2,Partidos!$F:$F,$B$3,Partidos!$D:$D,$A43)+SUMIFS(Partidos!$O:$O,Partidos!$C:$C,Partidos!$X$2,Partidos!$F:$F,$B$3,Partidos!$E:$E,$A43)+SUMIFS(Partidos!$O:$O,Partidos!$C:$C,Partidos!$X$2,Partidos!$G:$G,$B$3,Partidos!$D:$D,$A43)+SUMIFS(Partidos!$O:$O,Partidos!$C:$C,Partidos!$X$2,Partidos!$G:$G,$B$3,Partidos!$E:$E,$A43)))&amp;"-"&amp;(IF($A43="","",SUMIFS(Partidos!$O:$O,Partidos!$C:$C,Partidos!$X$2,Partidos!$D:$D,$B$3,Partidos!$F:$F,$A43)+SUMIFS(Partidos!$O:$O,Partidos!$C:$C,Partidos!$X$2,Partidos!$D:$D,$B$3,Partidos!$G:$G,$A43)+SUMIFS(Partidos!$O:$O,Partidos!$C:$C,Partidos!$X$2,Partidos!$E:$E,$B$3,Partidos!$F:$F,$A43)+SUMIFS(Partidos!$O:$O,Partidos!$C:$C,Partidos!$X$2,Partidos!$E:$E,$B$3,Partidos!$G:$G,$A43)+SUMIFS(Partidos!$N:$N,Partidos!$C:$C,Partidos!$X$2,Partidos!$F:$F,$B$3,Partidos!$D:$D,$A43)+SUMIFS(Partidos!$N:$N,Partidos!$C:$C,Partidos!$X$2,Partidos!$F:$F,$B$3,Partidos!$E:$E,$A43)+SUMIFS(Partidos!$N:$N,Partidos!$C:$C,Partidos!$X$2,Partidos!$G:$G,$B$3,Partidos!$D:$D,$A43)+SUMIFS(Partidos!$N:$N,Partidos!$C:$C,Partidos!$X$2,Partidos!$G:$G,$B$3,Partidos!$E:$E,$A43))))</f>
        <v/>
      </c>
      <c r="G43" s="10" t="str">
        <f>IF($A43="","",(IF($A43="","",SUMIFS(Partidos!$Q:$Q,Partidos!$C:$C,Partidos!$X$2,Partidos!$D:$D,$B$3,Partidos!$F:$F,$A43)+SUMIFS(Partidos!$Q:$Q,Partidos!$C:$C,Partidos!$X$2,Partidos!$D:$D,$B$3,Partidos!$G:$G,$A43)+SUMIFS(Partidos!$Q:$Q,Partidos!$C:$C,Partidos!$X$2,Partidos!$E:$E,$B$3,Partidos!$F:$F,$A43)+SUMIFS(Partidos!$Q:$Q,Partidos!$C:$C,Partidos!$X$2,Partidos!$E:$E,$B$3,Partidos!$G:$G,$A43)+SUMIFS(Partidos!$R:$R,Partidos!$C:$C,Partidos!$X$2,Partidos!$F:$F,$B$3,Partidos!$D:$D,$A43)+SUMIFS(Partidos!$R:$R,Partidos!$C:$C,Partidos!$X$2,Partidos!$F:$F,$B$3,Partidos!$E:$E,$A43)+SUMIFS(Partidos!$R:$R,Partidos!$C:$C,Partidos!$X$2,Partidos!$G:$G,$B$3,Partidos!$D:$D,$A43)+SUMIFS(Partidos!$R:$R,Partidos!$C:$C,Partidos!$X$2,Partidos!$G:$G,$B$3,Partidos!$E:$E,$A43)))-(IF($A43="","",SUMIFS(Partidos!$R:$R,Partidos!$C:$C,Partidos!$X$2,Partidos!$D:$D,$B$3,Partidos!$F:$F,$A43)+SUMIFS(Partidos!$R:$R,Partidos!$C:$C,Partidos!$X$2,Partidos!$D:$D,$B$3,Partidos!$G:$G,$A43)+SUMIFS(Partidos!$R:$R,Partidos!$C:$C,Partidos!$X$2,Partidos!$E:$E,$B$3,Partidos!$F:$F,$A43)+SUMIFS(Partidos!$R:$R,Partidos!$C:$C,Partidos!$X$2,Partidos!$E:$E,$B$3,Partidos!$G:$G,$A43)+SUMIFS(Partidos!$Q:$Q,Partidos!$C:$C,Partidos!$X$2,Partidos!$F:$F,$B$3,Partidos!$D:$D,$A43)+SUMIFS(Partidos!$Q:$Q,Partidos!$C:$C,Partidos!$X$2,Partidos!$F:$F,$B$3,Partidos!$E:$E,$A43)+SUMIFS(Partidos!$Q:$Q,Partidos!$C:$C,Partidos!$X$2,Partidos!$G:$G,$B$3,Partidos!$D:$D,$A43)+SUMIFS(Partidos!$Q:$Q,Partidos!$C:$C,Partidos!$X$2,Partidos!$G:$G,$B$3,Partidos!$E:$E,$A43))))</f>
        <v/>
      </c>
      <c r="H43" s="2"/>
      <c r="J43" t="str">
        <f t="shared" si="6"/>
        <v/>
      </c>
      <c r="K43" t="str">
        <f t="shared" si="7"/>
        <v/>
      </c>
    </row>
    <row r="44" spans="1:11" x14ac:dyDescent="0.3">
      <c r="A44" s="6" t="str">
        <f>IF(Jugadores!B40="","",IF(Jugadores!B40=$B$3,"",Jugadores!B40))</f>
        <v/>
      </c>
      <c r="B44" s="2" t="str">
        <f>IF($A44="","",COUNTIFS(Partidos!$C:$C,Partidos!$X$2,Partidos!$D:$D,$B$3,Partidos!$F:$F,$A44)+COUNTIFS(Partidos!$C:$C,Partidos!$X$2,Partidos!$D:$D,$B$3,Partidos!$G:$G,$A44)+COUNTIFS(Partidos!$C:$C,Partidos!$X$2,Partidos!$E:$E,$B$3,Partidos!$F:$F,$A44)+COUNTIFS(Partidos!$C:$C,Partidos!$X$2,Partidos!$E:$E,$B$3,Partidos!$G:$G,$A44)+COUNTIFS(Partidos!$C:$C,Partidos!$X$2,Partidos!$F:$F,$B$3,Partidos!$D:$D,$A44)+COUNTIFS(Partidos!$C:$C,Partidos!$X$2,Partidos!$F:$F,$B$3,Partidos!$E:$E,$A44)+COUNTIFS(Partidos!$C:$C,Partidos!$X$2,Partidos!$G:$G,$B$3,Partidos!$D:$D,$A44)+COUNTIFS(Partidos!$C:$C,Partidos!$X$2,Partidos!$G:$G,$B$3,Partidos!$E:$E,$A44))</f>
        <v/>
      </c>
      <c r="C44" s="2" t="str">
        <f>IF($A44="","",COUNTIFS(Partidos!$C:$C,Partidos!$X$2,Partidos!$P:$P,"A",Partidos!$D:$D,$B$3,Partidos!$F:$F,$A44)+COUNTIFS(Partidos!$C:$C,Partidos!$X$2,Partidos!$P:$P,"A",Partidos!$D:$D,$B$3,Partidos!$G:$G,$A44)+COUNTIFS(Partidos!$C:$C,Partidos!$X$2,Partidos!$P:$P,"A",Partidos!$E:$E,$B$3,Partidos!$F:$F,$A44)+COUNTIFS(Partidos!$C:$C,Partidos!$X$2,Partidos!$P:$P,"A",Partidos!$E:$E,$B$3,Partidos!$G:$G,$A44)+COUNTIFS(Partidos!$C:$C,Partidos!$X$2,Partidos!$P:$P,"B",Partidos!$F:$F,$B$3,Partidos!$D:$D,$A44)+COUNTIFS(Partidos!$C:$C,Partidos!$X$2,Partidos!$P:$P,"B",Partidos!$F:$F,$B$3,Partidos!$E:$E,$A44)+COUNTIFS(Partidos!$C:$C,Partidos!$X$2,Partidos!$P:$P,"B",Partidos!$G:$G,$B$3,Partidos!$D:$D,$A44)+COUNTIFS(Partidos!$C:$C,Partidos!$X$2,Partidos!$P:$P,"B",Partidos!$G:$G,$B$3,Partidos!$E:$E,$A44))</f>
        <v/>
      </c>
      <c r="D44" s="2" t="str">
        <f t="shared" si="5"/>
        <v/>
      </c>
      <c r="E44" s="11" t="str">
        <f t="shared" si="3"/>
        <v/>
      </c>
      <c r="F44" s="13" t="str">
        <f>IF($A44="","",(IF($A44="","",SUMIFS(Partidos!$N:$N,Partidos!$C:$C,Partidos!$X$2,Partidos!$D:$D,$B$3,Partidos!$F:$F,$A44)+SUMIFS(Partidos!$N:$N,Partidos!$C:$C,Partidos!$X$2,Partidos!$D:$D,$B$3,Partidos!$G:$G,$A44)+SUMIFS(Partidos!$N:$N,Partidos!$C:$C,Partidos!$X$2,Partidos!$E:$E,$B$3,Partidos!$F:$F,$A44)+SUMIFS(Partidos!$N:$N,Partidos!$C:$C,Partidos!$X$2,Partidos!$E:$E,$B$3,Partidos!$G:$G,$A44)+SUMIFS(Partidos!$O:$O,Partidos!$C:$C,Partidos!$X$2,Partidos!$F:$F,$B$3,Partidos!$D:$D,$A44)+SUMIFS(Partidos!$O:$O,Partidos!$C:$C,Partidos!$X$2,Partidos!$F:$F,$B$3,Partidos!$E:$E,$A44)+SUMIFS(Partidos!$O:$O,Partidos!$C:$C,Partidos!$X$2,Partidos!$G:$G,$B$3,Partidos!$D:$D,$A44)+SUMIFS(Partidos!$O:$O,Partidos!$C:$C,Partidos!$X$2,Partidos!$G:$G,$B$3,Partidos!$E:$E,$A44)))&amp;"-"&amp;(IF($A44="","",SUMIFS(Partidos!$O:$O,Partidos!$C:$C,Partidos!$X$2,Partidos!$D:$D,$B$3,Partidos!$F:$F,$A44)+SUMIFS(Partidos!$O:$O,Partidos!$C:$C,Partidos!$X$2,Partidos!$D:$D,$B$3,Partidos!$G:$G,$A44)+SUMIFS(Partidos!$O:$O,Partidos!$C:$C,Partidos!$X$2,Partidos!$E:$E,$B$3,Partidos!$F:$F,$A44)+SUMIFS(Partidos!$O:$O,Partidos!$C:$C,Partidos!$X$2,Partidos!$E:$E,$B$3,Partidos!$G:$G,$A44)+SUMIFS(Partidos!$N:$N,Partidos!$C:$C,Partidos!$X$2,Partidos!$F:$F,$B$3,Partidos!$D:$D,$A44)+SUMIFS(Partidos!$N:$N,Partidos!$C:$C,Partidos!$X$2,Partidos!$F:$F,$B$3,Partidos!$E:$E,$A44)+SUMIFS(Partidos!$N:$N,Partidos!$C:$C,Partidos!$X$2,Partidos!$G:$G,$B$3,Partidos!$D:$D,$A44)+SUMIFS(Partidos!$N:$N,Partidos!$C:$C,Partidos!$X$2,Partidos!$G:$G,$B$3,Partidos!$E:$E,$A44))))</f>
        <v/>
      </c>
      <c r="G44" s="10" t="str">
        <f>IF($A44="","",(IF($A44="","",SUMIFS(Partidos!$Q:$Q,Partidos!$C:$C,Partidos!$X$2,Partidos!$D:$D,$B$3,Partidos!$F:$F,$A44)+SUMIFS(Partidos!$Q:$Q,Partidos!$C:$C,Partidos!$X$2,Partidos!$D:$D,$B$3,Partidos!$G:$G,$A44)+SUMIFS(Partidos!$Q:$Q,Partidos!$C:$C,Partidos!$X$2,Partidos!$E:$E,$B$3,Partidos!$F:$F,$A44)+SUMIFS(Partidos!$Q:$Q,Partidos!$C:$C,Partidos!$X$2,Partidos!$E:$E,$B$3,Partidos!$G:$G,$A44)+SUMIFS(Partidos!$R:$R,Partidos!$C:$C,Partidos!$X$2,Partidos!$F:$F,$B$3,Partidos!$D:$D,$A44)+SUMIFS(Partidos!$R:$R,Partidos!$C:$C,Partidos!$X$2,Partidos!$F:$F,$B$3,Partidos!$E:$E,$A44)+SUMIFS(Partidos!$R:$R,Partidos!$C:$C,Partidos!$X$2,Partidos!$G:$G,$B$3,Partidos!$D:$D,$A44)+SUMIFS(Partidos!$R:$R,Partidos!$C:$C,Partidos!$X$2,Partidos!$G:$G,$B$3,Partidos!$E:$E,$A44)))-(IF($A44="","",SUMIFS(Partidos!$R:$R,Partidos!$C:$C,Partidos!$X$2,Partidos!$D:$D,$B$3,Partidos!$F:$F,$A44)+SUMIFS(Partidos!$R:$R,Partidos!$C:$C,Partidos!$X$2,Partidos!$D:$D,$B$3,Partidos!$G:$G,$A44)+SUMIFS(Partidos!$R:$R,Partidos!$C:$C,Partidos!$X$2,Partidos!$E:$E,$B$3,Partidos!$F:$F,$A44)+SUMIFS(Partidos!$R:$R,Partidos!$C:$C,Partidos!$X$2,Partidos!$E:$E,$B$3,Partidos!$G:$G,$A44)+SUMIFS(Partidos!$Q:$Q,Partidos!$C:$C,Partidos!$X$2,Partidos!$F:$F,$B$3,Partidos!$D:$D,$A44)+SUMIFS(Partidos!$Q:$Q,Partidos!$C:$C,Partidos!$X$2,Partidos!$F:$F,$B$3,Partidos!$E:$E,$A44)+SUMIFS(Partidos!$Q:$Q,Partidos!$C:$C,Partidos!$X$2,Partidos!$G:$G,$B$3,Partidos!$D:$D,$A44)+SUMIFS(Partidos!$Q:$Q,Partidos!$C:$C,Partidos!$X$2,Partidos!$G:$G,$B$3,Partidos!$E:$E,$A44))))</f>
        <v/>
      </c>
      <c r="H44" s="2"/>
      <c r="J44" t="str">
        <f t="shared" si="6"/>
        <v/>
      </c>
      <c r="K44" t="str">
        <f t="shared" si="7"/>
        <v/>
      </c>
    </row>
    <row r="45" spans="1:11" x14ac:dyDescent="0.3">
      <c r="A45" s="6" t="str">
        <f>IF(Jugadores!B41="","",IF(Jugadores!B41=$B$3,"",Jugadores!B41))</f>
        <v/>
      </c>
      <c r="B45" s="2" t="str">
        <f>IF($A45="","",COUNTIFS(Partidos!$C:$C,Partidos!$X$2,Partidos!$D:$D,$B$3,Partidos!$F:$F,$A45)+COUNTIFS(Partidos!$C:$C,Partidos!$X$2,Partidos!$D:$D,$B$3,Partidos!$G:$G,$A45)+COUNTIFS(Partidos!$C:$C,Partidos!$X$2,Partidos!$E:$E,$B$3,Partidos!$F:$F,$A45)+COUNTIFS(Partidos!$C:$C,Partidos!$X$2,Partidos!$E:$E,$B$3,Partidos!$G:$G,$A45)+COUNTIFS(Partidos!$C:$C,Partidos!$X$2,Partidos!$F:$F,$B$3,Partidos!$D:$D,$A45)+COUNTIFS(Partidos!$C:$C,Partidos!$X$2,Partidos!$F:$F,$B$3,Partidos!$E:$E,$A45)+COUNTIFS(Partidos!$C:$C,Partidos!$X$2,Partidos!$G:$G,$B$3,Partidos!$D:$D,$A45)+COUNTIFS(Partidos!$C:$C,Partidos!$X$2,Partidos!$G:$G,$B$3,Partidos!$E:$E,$A45))</f>
        <v/>
      </c>
      <c r="C45" s="2" t="str">
        <f>IF($A45="","",COUNTIFS(Partidos!$C:$C,Partidos!$X$2,Partidos!$P:$P,"A",Partidos!$D:$D,$B$3,Partidos!$F:$F,$A45)+COUNTIFS(Partidos!$C:$C,Partidos!$X$2,Partidos!$P:$P,"A",Partidos!$D:$D,$B$3,Partidos!$G:$G,$A45)+COUNTIFS(Partidos!$C:$C,Partidos!$X$2,Partidos!$P:$P,"A",Partidos!$E:$E,$B$3,Partidos!$F:$F,$A45)+COUNTIFS(Partidos!$C:$C,Partidos!$X$2,Partidos!$P:$P,"A",Partidos!$E:$E,$B$3,Partidos!$G:$G,$A45)+COUNTIFS(Partidos!$C:$C,Partidos!$X$2,Partidos!$P:$P,"B",Partidos!$F:$F,$B$3,Partidos!$D:$D,$A45)+COUNTIFS(Partidos!$C:$C,Partidos!$X$2,Partidos!$P:$P,"B",Partidos!$F:$F,$B$3,Partidos!$E:$E,$A45)+COUNTIFS(Partidos!$C:$C,Partidos!$X$2,Partidos!$P:$P,"B",Partidos!$G:$G,$B$3,Partidos!$D:$D,$A45)+COUNTIFS(Partidos!$C:$C,Partidos!$X$2,Partidos!$P:$P,"B",Partidos!$G:$G,$B$3,Partidos!$E:$E,$A45))</f>
        <v/>
      </c>
      <c r="D45" s="2" t="str">
        <f t="shared" si="5"/>
        <v/>
      </c>
      <c r="E45" s="11" t="str">
        <f t="shared" si="3"/>
        <v/>
      </c>
      <c r="F45" s="13" t="str">
        <f>IF($A45="","",(IF($A45="","",SUMIFS(Partidos!$N:$N,Partidos!$C:$C,Partidos!$X$2,Partidos!$D:$D,$B$3,Partidos!$F:$F,$A45)+SUMIFS(Partidos!$N:$N,Partidos!$C:$C,Partidos!$X$2,Partidos!$D:$D,$B$3,Partidos!$G:$G,$A45)+SUMIFS(Partidos!$N:$N,Partidos!$C:$C,Partidos!$X$2,Partidos!$E:$E,$B$3,Partidos!$F:$F,$A45)+SUMIFS(Partidos!$N:$N,Partidos!$C:$C,Partidos!$X$2,Partidos!$E:$E,$B$3,Partidos!$G:$G,$A45)+SUMIFS(Partidos!$O:$O,Partidos!$C:$C,Partidos!$X$2,Partidos!$F:$F,$B$3,Partidos!$D:$D,$A45)+SUMIFS(Partidos!$O:$O,Partidos!$C:$C,Partidos!$X$2,Partidos!$F:$F,$B$3,Partidos!$E:$E,$A45)+SUMIFS(Partidos!$O:$O,Partidos!$C:$C,Partidos!$X$2,Partidos!$G:$G,$B$3,Partidos!$D:$D,$A45)+SUMIFS(Partidos!$O:$O,Partidos!$C:$C,Partidos!$X$2,Partidos!$G:$G,$B$3,Partidos!$E:$E,$A45)))&amp;"-"&amp;(IF($A45="","",SUMIFS(Partidos!$O:$O,Partidos!$C:$C,Partidos!$X$2,Partidos!$D:$D,$B$3,Partidos!$F:$F,$A45)+SUMIFS(Partidos!$O:$O,Partidos!$C:$C,Partidos!$X$2,Partidos!$D:$D,$B$3,Partidos!$G:$G,$A45)+SUMIFS(Partidos!$O:$O,Partidos!$C:$C,Partidos!$X$2,Partidos!$E:$E,$B$3,Partidos!$F:$F,$A45)+SUMIFS(Partidos!$O:$O,Partidos!$C:$C,Partidos!$X$2,Partidos!$E:$E,$B$3,Partidos!$G:$G,$A45)+SUMIFS(Partidos!$N:$N,Partidos!$C:$C,Partidos!$X$2,Partidos!$F:$F,$B$3,Partidos!$D:$D,$A45)+SUMIFS(Partidos!$N:$N,Partidos!$C:$C,Partidos!$X$2,Partidos!$F:$F,$B$3,Partidos!$E:$E,$A45)+SUMIFS(Partidos!$N:$N,Partidos!$C:$C,Partidos!$X$2,Partidos!$G:$G,$B$3,Partidos!$D:$D,$A45)+SUMIFS(Partidos!$N:$N,Partidos!$C:$C,Partidos!$X$2,Partidos!$G:$G,$B$3,Partidos!$E:$E,$A45))))</f>
        <v/>
      </c>
      <c r="G45" s="10" t="str">
        <f>IF($A45="","",(IF($A45="","",SUMIFS(Partidos!$Q:$Q,Partidos!$C:$C,Partidos!$X$2,Partidos!$D:$D,$B$3,Partidos!$F:$F,$A45)+SUMIFS(Partidos!$Q:$Q,Partidos!$C:$C,Partidos!$X$2,Partidos!$D:$D,$B$3,Partidos!$G:$G,$A45)+SUMIFS(Partidos!$Q:$Q,Partidos!$C:$C,Partidos!$X$2,Partidos!$E:$E,$B$3,Partidos!$F:$F,$A45)+SUMIFS(Partidos!$Q:$Q,Partidos!$C:$C,Partidos!$X$2,Partidos!$E:$E,$B$3,Partidos!$G:$G,$A45)+SUMIFS(Partidos!$R:$R,Partidos!$C:$C,Partidos!$X$2,Partidos!$F:$F,$B$3,Partidos!$D:$D,$A45)+SUMIFS(Partidos!$R:$R,Partidos!$C:$C,Partidos!$X$2,Partidos!$F:$F,$B$3,Partidos!$E:$E,$A45)+SUMIFS(Partidos!$R:$R,Partidos!$C:$C,Partidos!$X$2,Partidos!$G:$G,$B$3,Partidos!$D:$D,$A45)+SUMIFS(Partidos!$R:$R,Partidos!$C:$C,Partidos!$X$2,Partidos!$G:$G,$B$3,Partidos!$E:$E,$A45)))-(IF($A45="","",SUMIFS(Partidos!$R:$R,Partidos!$C:$C,Partidos!$X$2,Partidos!$D:$D,$B$3,Partidos!$F:$F,$A45)+SUMIFS(Partidos!$R:$R,Partidos!$C:$C,Partidos!$X$2,Partidos!$D:$D,$B$3,Partidos!$G:$G,$A45)+SUMIFS(Partidos!$R:$R,Partidos!$C:$C,Partidos!$X$2,Partidos!$E:$E,$B$3,Partidos!$F:$F,$A45)+SUMIFS(Partidos!$R:$R,Partidos!$C:$C,Partidos!$X$2,Partidos!$E:$E,$B$3,Partidos!$G:$G,$A45)+SUMIFS(Partidos!$Q:$Q,Partidos!$C:$C,Partidos!$X$2,Partidos!$F:$F,$B$3,Partidos!$D:$D,$A45)+SUMIFS(Partidos!$Q:$Q,Partidos!$C:$C,Partidos!$X$2,Partidos!$F:$F,$B$3,Partidos!$E:$E,$A45)+SUMIFS(Partidos!$Q:$Q,Partidos!$C:$C,Partidos!$X$2,Partidos!$G:$G,$B$3,Partidos!$D:$D,$A45)+SUMIFS(Partidos!$Q:$Q,Partidos!$C:$C,Partidos!$X$2,Partidos!$G:$G,$B$3,Partidos!$E:$E,$A45))))</f>
        <v/>
      </c>
      <c r="H45" s="2"/>
      <c r="J45" t="str">
        <f t="shared" si="6"/>
        <v/>
      </c>
      <c r="K45" t="str">
        <f t="shared" si="7"/>
        <v/>
      </c>
    </row>
    <row r="46" spans="1:11" x14ac:dyDescent="0.3">
      <c r="A46" s="6" t="str">
        <f>IF(Jugadores!B42="","",IF(Jugadores!B42=$B$3,"",Jugadores!B42))</f>
        <v/>
      </c>
      <c r="B46" s="2" t="str">
        <f>IF($A46="","",COUNTIFS(Partidos!$C:$C,Partidos!$X$2,Partidos!$D:$D,$B$3,Partidos!$F:$F,$A46)+COUNTIFS(Partidos!$C:$C,Partidos!$X$2,Partidos!$D:$D,$B$3,Partidos!$G:$G,$A46)+COUNTIFS(Partidos!$C:$C,Partidos!$X$2,Partidos!$E:$E,$B$3,Partidos!$F:$F,$A46)+COUNTIFS(Partidos!$C:$C,Partidos!$X$2,Partidos!$E:$E,$B$3,Partidos!$G:$G,$A46)+COUNTIFS(Partidos!$C:$C,Partidos!$X$2,Partidos!$F:$F,$B$3,Partidos!$D:$D,$A46)+COUNTIFS(Partidos!$C:$C,Partidos!$X$2,Partidos!$F:$F,$B$3,Partidos!$E:$E,$A46)+COUNTIFS(Partidos!$C:$C,Partidos!$X$2,Partidos!$G:$G,$B$3,Partidos!$D:$D,$A46)+COUNTIFS(Partidos!$C:$C,Partidos!$X$2,Partidos!$G:$G,$B$3,Partidos!$E:$E,$A46))</f>
        <v/>
      </c>
      <c r="C46" s="2" t="str">
        <f>IF($A46="","",COUNTIFS(Partidos!$C:$C,Partidos!$X$2,Partidos!$P:$P,"A",Partidos!$D:$D,$B$3,Partidos!$F:$F,$A46)+COUNTIFS(Partidos!$C:$C,Partidos!$X$2,Partidos!$P:$P,"A",Partidos!$D:$D,$B$3,Partidos!$G:$G,$A46)+COUNTIFS(Partidos!$C:$C,Partidos!$X$2,Partidos!$P:$P,"A",Partidos!$E:$E,$B$3,Partidos!$F:$F,$A46)+COUNTIFS(Partidos!$C:$C,Partidos!$X$2,Partidos!$P:$P,"A",Partidos!$E:$E,$B$3,Partidos!$G:$G,$A46)+COUNTIFS(Partidos!$C:$C,Partidos!$X$2,Partidos!$P:$P,"B",Partidos!$F:$F,$B$3,Partidos!$D:$D,$A46)+COUNTIFS(Partidos!$C:$C,Partidos!$X$2,Partidos!$P:$P,"B",Partidos!$F:$F,$B$3,Partidos!$E:$E,$A46)+COUNTIFS(Partidos!$C:$C,Partidos!$X$2,Partidos!$P:$P,"B",Partidos!$G:$G,$B$3,Partidos!$D:$D,$A46)+COUNTIFS(Partidos!$C:$C,Partidos!$X$2,Partidos!$P:$P,"B",Partidos!$G:$G,$B$3,Partidos!$E:$E,$A46))</f>
        <v/>
      </c>
      <c r="D46" s="2" t="str">
        <f t="shared" si="5"/>
        <v/>
      </c>
      <c r="E46" s="11" t="str">
        <f t="shared" si="3"/>
        <v/>
      </c>
      <c r="F46" s="13" t="str">
        <f>IF($A46="","",(IF($A46="","",SUMIFS(Partidos!$N:$N,Partidos!$C:$C,Partidos!$X$2,Partidos!$D:$D,$B$3,Partidos!$F:$F,$A46)+SUMIFS(Partidos!$N:$N,Partidos!$C:$C,Partidos!$X$2,Partidos!$D:$D,$B$3,Partidos!$G:$G,$A46)+SUMIFS(Partidos!$N:$N,Partidos!$C:$C,Partidos!$X$2,Partidos!$E:$E,$B$3,Partidos!$F:$F,$A46)+SUMIFS(Partidos!$N:$N,Partidos!$C:$C,Partidos!$X$2,Partidos!$E:$E,$B$3,Partidos!$G:$G,$A46)+SUMIFS(Partidos!$O:$O,Partidos!$C:$C,Partidos!$X$2,Partidos!$F:$F,$B$3,Partidos!$D:$D,$A46)+SUMIFS(Partidos!$O:$O,Partidos!$C:$C,Partidos!$X$2,Partidos!$F:$F,$B$3,Partidos!$E:$E,$A46)+SUMIFS(Partidos!$O:$O,Partidos!$C:$C,Partidos!$X$2,Partidos!$G:$G,$B$3,Partidos!$D:$D,$A46)+SUMIFS(Partidos!$O:$O,Partidos!$C:$C,Partidos!$X$2,Partidos!$G:$G,$B$3,Partidos!$E:$E,$A46)))&amp;"-"&amp;(IF($A46="","",SUMIFS(Partidos!$O:$O,Partidos!$C:$C,Partidos!$X$2,Partidos!$D:$D,$B$3,Partidos!$F:$F,$A46)+SUMIFS(Partidos!$O:$O,Partidos!$C:$C,Partidos!$X$2,Partidos!$D:$D,$B$3,Partidos!$G:$G,$A46)+SUMIFS(Partidos!$O:$O,Partidos!$C:$C,Partidos!$X$2,Partidos!$E:$E,$B$3,Partidos!$F:$F,$A46)+SUMIFS(Partidos!$O:$O,Partidos!$C:$C,Partidos!$X$2,Partidos!$E:$E,$B$3,Partidos!$G:$G,$A46)+SUMIFS(Partidos!$N:$N,Partidos!$C:$C,Partidos!$X$2,Partidos!$F:$F,$B$3,Partidos!$D:$D,$A46)+SUMIFS(Partidos!$N:$N,Partidos!$C:$C,Partidos!$X$2,Partidos!$F:$F,$B$3,Partidos!$E:$E,$A46)+SUMIFS(Partidos!$N:$N,Partidos!$C:$C,Partidos!$X$2,Partidos!$G:$G,$B$3,Partidos!$D:$D,$A46)+SUMIFS(Partidos!$N:$N,Partidos!$C:$C,Partidos!$X$2,Partidos!$G:$G,$B$3,Partidos!$E:$E,$A46))))</f>
        <v/>
      </c>
      <c r="G46" s="10" t="str">
        <f>IF($A46="","",(IF($A46="","",SUMIFS(Partidos!$Q:$Q,Partidos!$C:$C,Partidos!$X$2,Partidos!$D:$D,$B$3,Partidos!$F:$F,$A46)+SUMIFS(Partidos!$Q:$Q,Partidos!$C:$C,Partidos!$X$2,Partidos!$D:$D,$B$3,Partidos!$G:$G,$A46)+SUMIFS(Partidos!$Q:$Q,Partidos!$C:$C,Partidos!$X$2,Partidos!$E:$E,$B$3,Partidos!$F:$F,$A46)+SUMIFS(Partidos!$Q:$Q,Partidos!$C:$C,Partidos!$X$2,Partidos!$E:$E,$B$3,Partidos!$G:$G,$A46)+SUMIFS(Partidos!$R:$R,Partidos!$C:$C,Partidos!$X$2,Partidos!$F:$F,$B$3,Partidos!$D:$D,$A46)+SUMIFS(Partidos!$R:$R,Partidos!$C:$C,Partidos!$X$2,Partidos!$F:$F,$B$3,Partidos!$E:$E,$A46)+SUMIFS(Partidos!$R:$R,Partidos!$C:$C,Partidos!$X$2,Partidos!$G:$G,$B$3,Partidos!$D:$D,$A46)+SUMIFS(Partidos!$R:$R,Partidos!$C:$C,Partidos!$X$2,Partidos!$G:$G,$B$3,Partidos!$E:$E,$A46)))-(IF($A46="","",SUMIFS(Partidos!$R:$R,Partidos!$C:$C,Partidos!$X$2,Partidos!$D:$D,$B$3,Partidos!$F:$F,$A46)+SUMIFS(Partidos!$R:$R,Partidos!$C:$C,Partidos!$X$2,Partidos!$D:$D,$B$3,Partidos!$G:$G,$A46)+SUMIFS(Partidos!$R:$R,Partidos!$C:$C,Partidos!$X$2,Partidos!$E:$E,$B$3,Partidos!$F:$F,$A46)+SUMIFS(Partidos!$R:$R,Partidos!$C:$C,Partidos!$X$2,Partidos!$E:$E,$B$3,Partidos!$G:$G,$A46)+SUMIFS(Partidos!$Q:$Q,Partidos!$C:$C,Partidos!$X$2,Partidos!$F:$F,$B$3,Partidos!$D:$D,$A46)+SUMIFS(Partidos!$Q:$Q,Partidos!$C:$C,Partidos!$X$2,Partidos!$F:$F,$B$3,Partidos!$E:$E,$A46)+SUMIFS(Partidos!$Q:$Q,Partidos!$C:$C,Partidos!$X$2,Partidos!$G:$G,$B$3,Partidos!$D:$D,$A46)+SUMIFS(Partidos!$Q:$Q,Partidos!$C:$C,Partidos!$X$2,Partidos!$G:$G,$B$3,Partidos!$E:$E,$A46))))</f>
        <v/>
      </c>
      <c r="H46" s="2"/>
      <c r="J46" t="str">
        <f t="shared" si="6"/>
        <v/>
      </c>
      <c r="K46" t="str">
        <f t="shared" si="7"/>
        <v/>
      </c>
    </row>
    <row r="47" spans="1:11" x14ac:dyDescent="0.3">
      <c r="A47" s="6" t="str">
        <f>IF(Jugadores!B43="","",IF(Jugadores!B43=$B$3,"",Jugadores!B43))</f>
        <v/>
      </c>
      <c r="B47" s="2" t="str">
        <f>IF($A47="","",COUNTIFS(Partidos!$C:$C,Partidos!$X$2,Partidos!$D:$D,$B$3,Partidos!$F:$F,$A47)+COUNTIFS(Partidos!$C:$C,Partidos!$X$2,Partidos!$D:$D,$B$3,Partidos!$G:$G,$A47)+COUNTIFS(Partidos!$C:$C,Partidos!$X$2,Partidos!$E:$E,$B$3,Partidos!$F:$F,$A47)+COUNTIFS(Partidos!$C:$C,Partidos!$X$2,Partidos!$E:$E,$B$3,Partidos!$G:$G,$A47)+COUNTIFS(Partidos!$C:$C,Partidos!$X$2,Partidos!$F:$F,$B$3,Partidos!$D:$D,$A47)+COUNTIFS(Partidos!$C:$C,Partidos!$X$2,Partidos!$F:$F,$B$3,Partidos!$E:$E,$A47)+COUNTIFS(Partidos!$C:$C,Partidos!$X$2,Partidos!$G:$G,$B$3,Partidos!$D:$D,$A47)+COUNTIFS(Partidos!$C:$C,Partidos!$X$2,Partidos!$G:$G,$B$3,Partidos!$E:$E,$A47))</f>
        <v/>
      </c>
      <c r="C47" s="2" t="str">
        <f>IF($A47="","",COUNTIFS(Partidos!$C:$C,Partidos!$X$2,Partidos!$P:$P,"A",Partidos!$D:$D,$B$3,Partidos!$F:$F,$A47)+COUNTIFS(Partidos!$C:$C,Partidos!$X$2,Partidos!$P:$P,"A",Partidos!$D:$D,$B$3,Partidos!$G:$G,$A47)+COUNTIFS(Partidos!$C:$C,Partidos!$X$2,Partidos!$P:$P,"A",Partidos!$E:$E,$B$3,Partidos!$F:$F,$A47)+COUNTIFS(Partidos!$C:$C,Partidos!$X$2,Partidos!$P:$P,"A",Partidos!$E:$E,$B$3,Partidos!$G:$G,$A47)+COUNTIFS(Partidos!$C:$C,Partidos!$X$2,Partidos!$P:$P,"B",Partidos!$F:$F,$B$3,Partidos!$D:$D,$A47)+COUNTIFS(Partidos!$C:$C,Partidos!$X$2,Partidos!$P:$P,"B",Partidos!$F:$F,$B$3,Partidos!$E:$E,$A47)+COUNTIFS(Partidos!$C:$C,Partidos!$X$2,Partidos!$P:$P,"B",Partidos!$G:$G,$B$3,Partidos!$D:$D,$A47)+COUNTIFS(Partidos!$C:$C,Partidos!$X$2,Partidos!$P:$P,"B",Partidos!$G:$G,$B$3,Partidos!$E:$E,$A47))</f>
        <v/>
      </c>
      <c r="D47" s="2" t="str">
        <f t="shared" si="5"/>
        <v/>
      </c>
      <c r="E47" s="11" t="str">
        <f t="shared" si="3"/>
        <v/>
      </c>
      <c r="F47" s="13" t="str">
        <f>IF($A47="","",(IF($A47="","",SUMIFS(Partidos!$N:$N,Partidos!$C:$C,Partidos!$X$2,Partidos!$D:$D,$B$3,Partidos!$F:$F,$A47)+SUMIFS(Partidos!$N:$N,Partidos!$C:$C,Partidos!$X$2,Partidos!$D:$D,$B$3,Partidos!$G:$G,$A47)+SUMIFS(Partidos!$N:$N,Partidos!$C:$C,Partidos!$X$2,Partidos!$E:$E,$B$3,Partidos!$F:$F,$A47)+SUMIFS(Partidos!$N:$N,Partidos!$C:$C,Partidos!$X$2,Partidos!$E:$E,$B$3,Partidos!$G:$G,$A47)+SUMIFS(Partidos!$O:$O,Partidos!$C:$C,Partidos!$X$2,Partidos!$F:$F,$B$3,Partidos!$D:$D,$A47)+SUMIFS(Partidos!$O:$O,Partidos!$C:$C,Partidos!$X$2,Partidos!$F:$F,$B$3,Partidos!$E:$E,$A47)+SUMIFS(Partidos!$O:$O,Partidos!$C:$C,Partidos!$X$2,Partidos!$G:$G,$B$3,Partidos!$D:$D,$A47)+SUMIFS(Partidos!$O:$O,Partidos!$C:$C,Partidos!$X$2,Partidos!$G:$G,$B$3,Partidos!$E:$E,$A47)))&amp;"-"&amp;(IF($A47="","",SUMIFS(Partidos!$O:$O,Partidos!$C:$C,Partidos!$X$2,Partidos!$D:$D,$B$3,Partidos!$F:$F,$A47)+SUMIFS(Partidos!$O:$O,Partidos!$C:$C,Partidos!$X$2,Partidos!$D:$D,$B$3,Partidos!$G:$G,$A47)+SUMIFS(Partidos!$O:$O,Partidos!$C:$C,Partidos!$X$2,Partidos!$E:$E,$B$3,Partidos!$F:$F,$A47)+SUMIFS(Partidos!$O:$O,Partidos!$C:$C,Partidos!$X$2,Partidos!$E:$E,$B$3,Partidos!$G:$G,$A47)+SUMIFS(Partidos!$N:$N,Partidos!$C:$C,Partidos!$X$2,Partidos!$F:$F,$B$3,Partidos!$D:$D,$A47)+SUMIFS(Partidos!$N:$N,Partidos!$C:$C,Partidos!$X$2,Partidos!$F:$F,$B$3,Partidos!$E:$E,$A47)+SUMIFS(Partidos!$N:$N,Partidos!$C:$C,Partidos!$X$2,Partidos!$G:$G,$B$3,Partidos!$D:$D,$A47)+SUMIFS(Partidos!$N:$N,Partidos!$C:$C,Partidos!$X$2,Partidos!$G:$G,$B$3,Partidos!$E:$E,$A47))))</f>
        <v/>
      </c>
      <c r="G47" s="10" t="str">
        <f>IF($A47="","",(IF($A47="","",SUMIFS(Partidos!$Q:$Q,Partidos!$C:$C,Partidos!$X$2,Partidos!$D:$D,$B$3,Partidos!$F:$F,$A47)+SUMIFS(Partidos!$Q:$Q,Partidos!$C:$C,Partidos!$X$2,Partidos!$D:$D,$B$3,Partidos!$G:$G,$A47)+SUMIFS(Partidos!$Q:$Q,Partidos!$C:$C,Partidos!$X$2,Partidos!$E:$E,$B$3,Partidos!$F:$F,$A47)+SUMIFS(Partidos!$Q:$Q,Partidos!$C:$C,Partidos!$X$2,Partidos!$E:$E,$B$3,Partidos!$G:$G,$A47)+SUMIFS(Partidos!$R:$R,Partidos!$C:$C,Partidos!$X$2,Partidos!$F:$F,$B$3,Partidos!$D:$D,$A47)+SUMIFS(Partidos!$R:$R,Partidos!$C:$C,Partidos!$X$2,Partidos!$F:$F,$B$3,Partidos!$E:$E,$A47)+SUMIFS(Partidos!$R:$R,Partidos!$C:$C,Partidos!$X$2,Partidos!$G:$G,$B$3,Partidos!$D:$D,$A47)+SUMIFS(Partidos!$R:$R,Partidos!$C:$C,Partidos!$X$2,Partidos!$G:$G,$B$3,Partidos!$E:$E,$A47)))-(IF($A47="","",SUMIFS(Partidos!$R:$R,Partidos!$C:$C,Partidos!$X$2,Partidos!$D:$D,$B$3,Partidos!$F:$F,$A47)+SUMIFS(Partidos!$R:$R,Partidos!$C:$C,Partidos!$X$2,Partidos!$D:$D,$B$3,Partidos!$G:$G,$A47)+SUMIFS(Partidos!$R:$R,Partidos!$C:$C,Partidos!$X$2,Partidos!$E:$E,$B$3,Partidos!$F:$F,$A47)+SUMIFS(Partidos!$R:$R,Partidos!$C:$C,Partidos!$X$2,Partidos!$E:$E,$B$3,Partidos!$G:$G,$A47)+SUMIFS(Partidos!$Q:$Q,Partidos!$C:$C,Partidos!$X$2,Partidos!$F:$F,$B$3,Partidos!$D:$D,$A47)+SUMIFS(Partidos!$Q:$Q,Partidos!$C:$C,Partidos!$X$2,Partidos!$F:$F,$B$3,Partidos!$E:$E,$A47)+SUMIFS(Partidos!$Q:$Q,Partidos!$C:$C,Partidos!$X$2,Partidos!$G:$G,$B$3,Partidos!$D:$D,$A47)+SUMIFS(Partidos!$Q:$Q,Partidos!$C:$C,Partidos!$X$2,Partidos!$G:$G,$B$3,Partidos!$E:$E,$A47))))</f>
        <v/>
      </c>
      <c r="H47" s="2"/>
      <c r="J47" t="str">
        <f t="shared" si="6"/>
        <v/>
      </c>
      <c r="K47" t="str">
        <f t="shared" si="7"/>
        <v/>
      </c>
    </row>
    <row r="48" spans="1:11" x14ac:dyDescent="0.3">
      <c r="A48" s="6" t="str">
        <f>IF(Jugadores!B44="","",IF(Jugadores!B44=$B$3,"",Jugadores!B44))</f>
        <v/>
      </c>
      <c r="B48" s="2" t="str">
        <f>IF($A48="","",COUNTIFS(Partidos!$C:$C,Partidos!$X$2,Partidos!$D:$D,$B$3,Partidos!$F:$F,$A48)+COUNTIFS(Partidos!$C:$C,Partidos!$X$2,Partidos!$D:$D,$B$3,Partidos!$G:$G,$A48)+COUNTIFS(Partidos!$C:$C,Partidos!$X$2,Partidos!$E:$E,$B$3,Partidos!$F:$F,$A48)+COUNTIFS(Partidos!$C:$C,Partidos!$X$2,Partidos!$E:$E,$B$3,Partidos!$G:$G,$A48)+COUNTIFS(Partidos!$C:$C,Partidos!$X$2,Partidos!$F:$F,$B$3,Partidos!$D:$D,$A48)+COUNTIFS(Partidos!$C:$C,Partidos!$X$2,Partidos!$F:$F,$B$3,Partidos!$E:$E,$A48)+COUNTIFS(Partidos!$C:$C,Partidos!$X$2,Partidos!$G:$G,$B$3,Partidos!$D:$D,$A48)+COUNTIFS(Partidos!$C:$C,Partidos!$X$2,Partidos!$G:$G,$B$3,Partidos!$E:$E,$A48))</f>
        <v/>
      </c>
      <c r="C48" s="2" t="str">
        <f>IF($A48="","",COUNTIFS(Partidos!$C:$C,Partidos!$X$2,Partidos!$P:$P,"A",Partidos!$D:$D,$B$3,Partidos!$F:$F,$A48)+COUNTIFS(Partidos!$C:$C,Partidos!$X$2,Partidos!$P:$P,"A",Partidos!$D:$D,$B$3,Partidos!$G:$G,$A48)+COUNTIFS(Partidos!$C:$C,Partidos!$X$2,Partidos!$P:$P,"A",Partidos!$E:$E,$B$3,Partidos!$F:$F,$A48)+COUNTIFS(Partidos!$C:$C,Partidos!$X$2,Partidos!$P:$P,"A",Partidos!$E:$E,$B$3,Partidos!$G:$G,$A48)+COUNTIFS(Partidos!$C:$C,Partidos!$X$2,Partidos!$P:$P,"B",Partidos!$F:$F,$B$3,Partidos!$D:$D,$A48)+COUNTIFS(Partidos!$C:$C,Partidos!$X$2,Partidos!$P:$P,"B",Partidos!$F:$F,$B$3,Partidos!$E:$E,$A48)+COUNTIFS(Partidos!$C:$C,Partidos!$X$2,Partidos!$P:$P,"B",Partidos!$G:$G,$B$3,Partidos!$D:$D,$A48)+COUNTIFS(Partidos!$C:$C,Partidos!$X$2,Partidos!$P:$P,"B",Partidos!$G:$G,$B$3,Partidos!$E:$E,$A48))</f>
        <v/>
      </c>
      <c r="D48" s="2" t="str">
        <f t="shared" si="5"/>
        <v/>
      </c>
      <c r="E48" s="11" t="str">
        <f t="shared" si="3"/>
        <v/>
      </c>
      <c r="F48" s="13" t="str">
        <f>IF($A48="","",(IF($A48="","",SUMIFS(Partidos!$N:$N,Partidos!$C:$C,Partidos!$X$2,Partidos!$D:$D,$B$3,Partidos!$F:$F,$A48)+SUMIFS(Partidos!$N:$N,Partidos!$C:$C,Partidos!$X$2,Partidos!$D:$D,$B$3,Partidos!$G:$G,$A48)+SUMIFS(Partidos!$N:$N,Partidos!$C:$C,Partidos!$X$2,Partidos!$E:$E,$B$3,Partidos!$F:$F,$A48)+SUMIFS(Partidos!$N:$N,Partidos!$C:$C,Partidos!$X$2,Partidos!$E:$E,$B$3,Partidos!$G:$G,$A48)+SUMIFS(Partidos!$O:$O,Partidos!$C:$C,Partidos!$X$2,Partidos!$F:$F,$B$3,Partidos!$D:$D,$A48)+SUMIFS(Partidos!$O:$O,Partidos!$C:$C,Partidos!$X$2,Partidos!$F:$F,$B$3,Partidos!$E:$E,$A48)+SUMIFS(Partidos!$O:$O,Partidos!$C:$C,Partidos!$X$2,Partidos!$G:$G,$B$3,Partidos!$D:$D,$A48)+SUMIFS(Partidos!$O:$O,Partidos!$C:$C,Partidos!$X$2,Partidos!$G:$G,$B$3,Partidos!$E:$E,$A48)))&amp;"-"&amp;(IF($A48="","",SUMIFS(Partidos!$O:$O,Partidos!$C:$C,Partidos!$X$2,Partidos!$D:$D,$B$3,Partidos!$F:$F,$A48)+SUMIFS(Partidos!$O:$O,Partidos!$C:$C,Partidos!$X$2,Partidos!$D:$D,$B$3,Partidos!$G:$G,$A48)+SUMIFS(Partidos!$O:$O,Partidos!$C:$C,Partidos!$X$2,Partidos!$E:$E,$B$3,Partidos!$F:$F,$A48)+SUMIFS(Partidos!$O:$O,Partidos!$C:$C,Partidos!$X$2,Partidos!$E:$E,$B$3,Partidos!$G:$G,$A48)+SUMIFS(Partidos!$N:$N,Partidos!$C:$C,Partidos!$X$2,Partidos!$F:$F,$B$3,Partidos!$D:$D,$A48)+SUMIFS(Partidos!$N:$N,Partidos!$C:$C,Partidos!$X$2,Partidos!$F:$F,$B$3,Partidos!$E:$E,$A48)+SUMIFS(Partidos!$N:$N,Partidos!$C:$C,Partidos!$X$2,Partidos!$G:$G,$B$3,Partidos!$D:$D,$A48)+SUMIFS(Partidos!$N:$N,Partidos!$C:$C,Partidos!$X$2,Partidos!$G:$G,$B$3,Partidos!$E:$E,$A48))))</f>
        <v/>
      </c>
      <c r="G48" s="10" t="str">
        <f>IF($A48="","",(IF($A48="","",SUMIFS(Partidos!$Q:$Q,Partidos!$C:$C,Partidos!$X$2,Partidos!$D:$D,$B$3,Partidos!$F:$F,$A48)+SUMIFS(Partidos!$Q:$Q,Partidos!$C:$C,Partidos!$X$2,Partidos!$D:$D,$B$3,Partidos!$G:$G,$A48)+SUMIFS(Partidos!$Q:$Q,Partidos!$C:$C,Partidos!$X$2,Partidos!$E:$E,$B$3,Partidos!$F:$F,$A48)+SUMIFS(Partidos!$Q:$Q,Partidos!$C:$C,Partidos!$X$2,Partidos!$E:$E,$B$3,Partidos!$G:$G,$A48)+SUMIFS(Partidos!$R:$R,Partidos!$C:$C,Partidos!$X$2,Partidos!$F:$F,$B$3,Partidos!$D:$D,$A48)+SUMIFS(Partidos!$R:$R,Partidos!$C:$C,Partidos!$X$2,Partidos!$F:$F,$B$3,Partidos!$E:$E,$A48)+SUMIFS(Partidos!$R:$R,Partidos!$C:$C,Partidos!$X$2,Partidos!$G:$G,$B$3,Partidos!$D:$D,$A48)+SUMIFS(Partidos!$R:$R,Partidos!$C:$C,Partidos!$X$2,Partidos!$G:$G,$B$3,Partidos!$E:$E,$A48)))-(IF($A48="","",SUMIFS(Partidos!$R:$R,Partidos!$C:$C,Partidos!$X$2,Partidos!$D:$D,$B$3,Partidos!$F:$F,$A48)+SUMIFS(Partidos!$R:$R,Partidos!$C:$C,Partidos!$X$2,Partidos!$D:$D,$B$3,Partidos!$G:$G,$A48)+SUMIFS(Partidos!$R:$R,Partidos!$C:$C,Partidos!$X$2,Partidos!$E:$E,$B$3,Partidos!$F:$F,$A48)+SUMIFS(Partidos!$R:$R,Partidos!$C:$C,Partidos!$X$2,Partidos!$E:$E,$B$3,Partidos!$G:$G,$A48)+SUMIFS(Partidos!$Q:$Q,Partidos!$C:$C,Partidos!$X$2,Partidos!$F:$F,$B$3,Partidos!$D:$D,$A48)+SUMIFS(Partidos!$Q:$Q,Partidos!$C:$C,Partidos!$X$2,Partidos!$F:$F,$B$3,Partidos!$E:$E,$A48)+SUMIFS(Partidos!$Q:$Q,Partidos!$C:$C,Partidos!$X$2,Partidos!$G:$G,$B$3,Partidos!$D:$D,$A48)+SUMIFS(Partidos!$Q:$Q,Partidos!$C:$C,Partidos!$X$2,Partidos!$G:$G,$B$3,Partidos!$E:$E,$A48))))</f>
        <v/>
      </c>
      <c r="H48" s="2"/>
      <c r="J48" t="str">
        <f t="shared" si="6"/>
        <v/>
      </c>
      <c r="K48" t="str">
        <f t="shared" si="7"/>
        <v/>
      </c>
    </row>
    <row r="49" spans="1:11" x14ac:dyDescent="0.3">
      <c r="A49" s="6" t="str">
        <f>IF(Jugadores!B45="","",IF(Jugadores!B45=$B$3,"",Jugadores!B45))</f>
        <v/>
      </c>
      <c r="B49" s="2" t="str">
        <f>IF($A49="","",COUNTIFS(Partidos!$C:$C,Partidos!$X$2,Partidos!$D:$D,$B$3,Partidos!$F:$F,$A49)+COUNTIFS(Partidos!$C:$C,Partidos!$X$2,Partidos!$D:$D,$B$3,Partidos!$G:$G,$A49)+COUNTIFS(Partidos!$C:$C,Partidos!$X$2,Partidos!$E:$E,$B$3,Partidos!$F:$F,$A49)+COUNTIFS(Partidos!$C:$C,Partidos!$X$2,Partidos!$E:$E,$B$3,Partidos!$G:$G,$A49)+COUNTIFS(Partidos!$C:$C,Partidos!$X$2,Partidos!$F:$F,$B$3,Partidos!$D:$D,$A49)+COUNTIFS(Partidos!$C:$C,Partidos!$X$2,Partidos!$F:$F,$B$3,Partidos!$E:$E,$A49)+COUNTIFS(Partidos!$C:$C,Partidos!$X$2,Partidos!$G:$G,$B$3,Partidos!$D:$D,$A49)+COUNTIFS(Partidos!$C:$C,Partidos!$X$2,Partidos!$G:$G,$B$3,Partidos!$E:$E,$A49))</f>
        <v/>
      </c>
      <c r="C49" s="2" t="str">
        <f>IF($A49="","",COUNTIFS(Partidos!$C:$C,Partidos!$X$2,Partidos!$P:$P,"A",Partidos!$D:$D,$B$3,Partidos!$F:$F,$A49)+COUNTIFS(Partidos!$C:$C,Partidos!$X$2,Partidos!$P:$P,"A",Partidos!$D:$D,$B$3,Partidos!$G:$G,$A49)+COUNTIFS(Partidos!$C:$C,Partidos!$X$2,Partidos!$P:$P,"A",Partidos!$E:$E,$B$3,Partidos!$F:$F,$A49)+COUNTIFS(Partidos!$C:$C,Partidos!$X$2,Partidos!$P:$P,"A",Partidos!$E:$E,$B$3,Partidos!$G:$G,$A49)+COUNTIFS(Partidos!$C:$C,Partidos!$X$2,Partidos!$P:$P,"B",Partidos!$F:$F,$B$3,Partidos!$D:$D,$A49)+COUNTIFS(Partidos!$C:$C,Partidos!$X$2,Partidos!$P:$P,"B",Partidos!$F:$F,$B$3,Partidos!$E:$E,$A49)+COUNTIFS(Partidos!$C:$C,Partidos!$X$2,Partidos!$P:$P,"B",Partidos!$G:$G,$B$3,Partidos!$D:$D,$A49)+COUNTIFS(Partidos!$C:$C,Partidos!$X$2,Partidos!$P:$P,"B",Partidos!$G:$G,$B$3,Partidos!$E:$E,$A49))</f>
        <v/>
      </c>
      <c r="D49" s="2" t="str">
        <f t="shared" si="5"/>
        <v/>
      </c>
      <c r="E49" s="11" t="str">
        <f t="shared" si="3"/>
        <v/>
      </c>
      <c r="F49" s="13" t="str">
        <f>IF($A49="","",(IF($A49="","",SUMIFS(Partidos!$N:$N,Partidos!$C:$C,Partidos!$X$2,Partidos!$D:$D,$B$3,Partidos!$F:$F,$A49)+SUMIFS(Partidos!$N:$N,Partidos!$C:$C,Partidos!$X$2,Partidos!$D:$D,$B$3,Partidos!$G:$G,$A49)+SUMIFS(Partidos!$N:$N,Partidos!$C:$C,Partidos!$X$2,Partidos!$E:$E,$B$3,Partidos!$F:$F,$A49)+SUMIFS(Partidos!$N:$N,Partidos!$C:$C,Partidos!$X$2,Partidos!$E:$E,$B$3,Partidos!$G:$G,$A49)+SUMIFS(Partidos!$O:$O,Partidos!$C:$C,Partidos!$X$2,Partidos!$F:$F,$B$3,Partidos!$D:$D,$A49)+SUMIFS(Partidos!$O:$O,Partidos!$C:$C,Partidos!$X$2,Partidos!$F:$F,$B$3,Partidos!$E:$E,$A49)+SUMIFS(Partidos!$O:$O,Partidos!$C:$C,Partidos!$X$2,Partidos!$G:$G,$B$3,Partidos!$D:$D,$A49)+SUMIFS(Partidos!$O:$O,Partidos!$C:$C,Partidos!$X$2,Partidos!$G:$G,$B$3,Partidos!$E:$E,$A49)))&amp;"-"&amp;(IF($A49="","",SUMIFS(Partidos!$O:$O,Partidos!$C:$C,Partidos!$X$2,Partidos!$D:$D,$B$3,Partidos!$F:$F,$A49)+SUMIFS(Partidos!$O:$O,Partidos!$C:$C,Partidos!$X$2,Partidos!$D:$D,$B$3,Partidos!$G:$G,$A49)+SUMIFS(Partidos!$O:$O,Partidos!$C:$C,Partidos!$X$2,Partidos!$E:$E,$B$3,Partidos!$F:$F,$A49)+SUMIFS(Partidos!$O:$O,Partidos!$C:$C,Partidos!$X$2,Partidos!$E:$E,$B$3,Partidos!$G:$G,$A49)+SUMIFS(Partidos!$N:$N,Partidos!$C:$C,Partidos!$X$2,Partidos!$F:$F,$B$3,Partidos!$D:$D,$A49)+SUMIFS(Partidos!$N:$N,Partidos!$C:$C,Partidos!$X$2,Partidos!$F:$F,$B$3,Partidos!$E:$E,$A49)+SUMIFS(Partidos!$N:$N,Partidos!$C:$C,Partidos!$X$2,Partidos!$G:$G,$B$3,Partidos!$D:$D,$A49)+SUMIFS(Partidos!$N:$N,Partidos!$C:$C,Partidos!$X$2,Partidos!$G:$G,$B$3,Partidos!$E:$E,$A49))))</f>
        <v/>
      </c>
      <c r="G49" s="10" t="str">
        <f>IF($A49="","",(IF($A49="","",SUMIFS(Partidos!$Q:$Q,Partidos!$C:$C,Partidos!$X$2,Partidos!$D:$D,$B$3,Partidos!$F:$F,$A49)+SUMIFS(Partidos!$Q:$Q,Partidos!$C:$C,Partidos!$X$2,Partidos!$D:$D,$B$3,Partidos!$G:$G,$A49)+SUMIFS(Partidos!$Q:$Q,Partidos!$C:$C,Partidos!$X$2,Partidos!$E:$E,$B$3,Partidos!$F:$F,$A49)+SUMIFS(Partidos!$Q:$Q,Partidos!$C:$C,Partidos!$X$2,Partidos!$E:$E,$B$3,Partidos!$G:$G,$A49)+SUMIFS(Partidos!$R:$R,Partidos!$C:$C,Partidos!$X$2,Partidos!$F:$F,$B$3,Partidos!$D:$D,$A49)+SUMIFS(Partidos!$R:$R,Partidos!$C:$C,Partidos!$X$2,Partidos!$F:$F,$B$3,Partidos!$E:$E,$A49)+SUMIFS(Partidos!$R:$R,Partidos!$C:$C,Partidos!$X$2,Partidos!$G:$G,$B$3,Partidos!$D:$D,$A49)+SUMIFS(Partidos!$R:$R,Partidos!$C:$C,Partidos!$X$2,Partidos!$G:$G,$B$3,Partidos!$E:$E,$A49)))-(IF($A49="","",SUMIFS(Partidos!$R:$R,Partidos!$C:$C,Partidos!$X$2,Partidos!$D:$D,$B$3,Partidos!$F:$F,$A49)+SUMIFS(Partidos!$R:$R,Partidos!$C:$C,Partidos!$X$2,Partidos!$D:$D,$B$3,Partidos!$G:$G,$A49)+SUMIFS(Partidos!$R:$R,Partidos!$C:$C,Partidos!$X$2,Partidos!$E:$E,$B$3,Partidos!$F:$F,$A49)+SUMIFS(Partidos!$R:$R,Partidos!$C:$C,Partidos!$X$2,Partidos!$E:$E,$B$3,Partidos!$G:$G,$A49)+SUMIFS(Partidos!$Q:$Q,Partidos!$C:$C,Partidos!$X$2,Partidos!$F:$F,$B$3,Partidos!$D:$D,$A49)+SUMIFS(Partidos!$Q:$Q,Partidos!$C:$C,Partidos!$X$2,Partidos!$F:$F,$B$3,Partidos!$E:$E,$A49)+SUMIFS(Partidos!$Q:$Q,Partidos!$C:$C,Partidos!$X$2,Partidos!$G:$G,$B$3,Partidos!$D:$D,$A49)+SUMIFS(Partidos!$Q:$Q,Partidos!$C:$C,Partidos!$X$2,Partidos!$G:$G,$B$3,Partidos!$E:$E,$A49))))</f>
        <v/>
      </c>
      <c r="H49" s="2"/>
      <c r="J49" t="str">
        <f t="shared" si="6"/>
        <v/>
      </c>
      <c r="K49" t="str">
        <f t="shared" si="7"/>
        <v/>
      </c>
    </row>
    <row r="50" spans="1:11" x14ac:dyDescent="0.3">
      <c r="A50" s="6" t="str">
        <f>IF(Jugadores!B46="","",IF(Jugadores!B46=$B$3,"",Jugadores!B46))</f>
        <v/>
      </c>
      <c r="B50" s="2" t="str">
        <f>IF($A50="","",COUNTIFS(Partidos!$C:$C,Partidos!$X$2,Partidos!$D:$D,$B$3,Partidos!$F:$F,$A50)+COUNTIFS(Partidos!$C:$C,Partidos!$X$2,Partidos!$D:$D,$B$3,Partidos!$G:$G,$A50)+COUNTIFS(Partidos!$C:$C,Partidos!$X$2,Partidos!$E:$E,$B$3,Partidos!$F:$F,$A50)+COUNTIFS(Partidos!$C:$C,Partidos!$X$2,Partidos!$E:$E,$B$3,Partidos!$G:$G,$A50)+COUNTIFS(Partidos!$C:$C,Partidos!$X$2,Partidos!$F:$F,$B$3,Partidos!$D:$D,$A50)+COUNTIFS(Partidos!$C:$C,Partidos!$X$2,Partidos!$F:$F,$B$3,Partidos!$E:$E,$A50)+COUNTIFS(Partidos!$C:$C,Partidos!$X$2,Partidos!$G:$G,$B$3,Partidos!$D:$D,$A50)+COUNTIFS(Partidos!$C:$C,Partidos!$X$2,Partidos!$G:$G,$B$3,Partidos!$E:$E,$A50))</f>
        <v/>
      </c>
      <c r="C50" s="2" t="str">
        <f>IF($A50="","",COUNTIFS(Partidos!$C:$C,Partidos!$X$2,Partidos!$P:$P,"A",Partidos!$D:$D,$B$3,Partidos!$F:$F,$A50)+COUNTIFS(Partidos!$C:$C,Partidos!$X$2,Partidos!$P:$P,"A",Partidos!$D:$D,$B$3,Partidos!$G:$G,$A50)+COUNTIFS(Partidos!$C:$C,Partidos!$X$2,Partidos!$P:$P,"A",Partidos!$E:$E,$B$3,Partidos!$F:$F,$A50)+COUNTIFS(Partidos!$C:$C,Partidos!$X$2,Partidos!$P:$P,"A",Partidos!$E:$E,$B$3,Partidos!$G:$G,$A50)+COUNTIFS(Partidos!$C:$C,Partidos!$X$2,Partidos!$P:$P,"B",Partidos!$F:$F,$B$3,Partidos!$D:$D,$A50)+COUNTIFS(Partidos!$C:$C,Partidos!$X$2,Partidos!$P:$P,"B",Partidos!$F:$F,$B$3,Partidos!$E:$E,$A50)+COUNTIFS(Partidos!$C:$C,Partidos!$X$2,Partidos!$P:$P,"B",Partidos!$G:$G,$B$3,Partidos!$D:$D,$A50)+COUNTIFS(Partidos!$C:$C,Partidos!$X$2,Partidos!$P:$P,"B",Partidos!$G:$G,$B$3,Partidos!$E:$E,$A50))</f>
        <v/>
      </c>
      <c r="D50" s="2" t="str">
        <f t="shared" si="5"/>
        <v/>
      </c>
      <c r="E50" s="11" t="str">
        <f t="shared" si="3"/>
        <v/>
      </c>
      <c r="F50" s="13" t="str">
        <f>IF($A50="","",(IF($A50="","",SUMIFS(Partidos!$N:$N,Partidos!$C:$C,Partidos!$X$2,Partidos!$D:$D,$B$3,Partidos!$F:$F,$A50)+SUMIFS(Partidos!$N:$N,Partidos!$C:$C,Partidos!$X$2,Partidos!$D:$D,$B$3,Partidos!$G:$G,$A50)+SUMIFS(Partidos!$N:$N,Partidos!$C:$C,Partidos!$X$2,Partidos!$E:$E,$B$3,Partidos!$F:$F,$A50)+SUMIFS(Partidos!$N:$N,Partidos!$C:$C,Partidos!$X$2,Partidos!$E:$E,$B$3,Partidos!$G:$G,$A50)+SUMIFS(Partidos!$O:$O,Partidos!$C:$C,Partidos!$X$2,Partidos!$F:$F,$B$3,Partidos!$D:$D,$A50)+SUMIFS(Partidos!$O:$O,Partidos!$C:$C,Partidos!$X$2,Partidos!$F:$F,$B$3,Partidos!$E:$E,$A50)+SUMIFS(Partidos!$O:$O,Partidos!$C:$C,Partidos!$X$2,Partidos!$G:$G,$B$3,Partidos!$D:$D,$A50)+SUMIFS(Partidos!$O:$O,Partidos!$C:$C,Partidos!$X$2,Partidos!$G:$G,$B$3,Partidos!$E:$E,$A50)))&amp;"-"&amp;(IF($A50="","",SUMIFS(Partidos!$O:$O,Partidos!$C:$C,Partidos!$X$2,Partidos!$D:$D,$B$3,Partidos!$F:$F,$A50)+SUMIFS(Partidos!$O:$O,Partidos!$C:$C,Partidos!$X$2,Partidos!$D:$D,$B$3,Partidos!$G:$G,$A50)+SUMIFS(Partidos!$O:$O,Partidos!$C:$C,Partidos!$X$2,Partidos!$E:$E,$B$3,Partidos!$F:$F,$A50)+SUMIFS(Partidos!$O:$O,Partidos!$C:$C,Partidos!$X$2,Partidos!$E:$E,$B$3,Partidos!$G:$G,$A50)+SUMIFS(Partidos!$N:$N,Partidos!$C:$C,Partidos!$X$2,Partidos!$F:$F,$B$3,Partidos!$D:$D,$A50)+SUMIFS(Partidos!$N:$N,Partidos!$C:$C,Partidos!$X$2,Partidos!$F:$F,$B$3,Partidos!$E:$E,$A50)+SUMIFS(Partidos!$N:$N,Partidos!$C:$C,Partidos!$X$2,Partidos!$G:$G,$B$3,Partidos!$D:$D,$A50)+SUMIFS(Partidos!$N:$N,Partidos!$C:$C,Partidos!$X$2,Partidos!$G:$G,$B$3,Partidos!$E:$E,$A50))))</f>
        <v/>
      </c>
      <c r="G50" s="10" t="str">
        <f>IF($A50="","",(IF($A50="","",SUMIFS(Partidos!$Q:$Q,Partidos!$C:$C,Partidos!$X$2,Partidos!$D:$D,$B$3,Partidos!$F:$F,$A50)+SUMIFS(Partidos!$Q:$Q,Partidos!$C:$C,Partidos!$X$2,Partidos!$D:$D,$B$3,Partidos!$G:$G,$A50)+SUMIFS(Partidos!$Q:$Q,Partidos!$C:$C,Partidos!$X$2,Partidos!$E:$E,$B$3,Partidos!$F:$F,$A50)+SUMIFS(Partidos!$Q:$Q,Partidos!$C:$C,Partidos!$X$2,Partidos!$E:$E,$B$3,Partidos!$G:$G,$A50)+SUMIFS(Partidos!$R:$R,Partidos!$C:$C,Partidos!$X$2,Partidos!$F:$F,$B$3,Partidos!$D:$D,$A50)+SUMIFS(Partidos!$R:$R,Partidos!$C:$C,Partidos!$X$2,Partidos!$F:$F,$B$3,Partidos!$E:$E,$A50)+SUMIFS(Partidos!$R:$R,Partidos!$C:$C,Partidos!$X$2,Partidos!$G:$G,$B$3,Partidos!$D:$D,$A50)+SUMIFS(Partidos!$R:$R,Partidos!$C:$C,Partidos!$X$2,Partidos!$G:$G,$B$3,Partidos!$E:$E,$A50)))-(IF($A50="","",SUMIFS(Partidos!$R:$R,Partidos!$C:$C,Partidos!$X$2,Partidos!$D:$D,$B$3,Partidos!$F:$F,$A50)+SUMIFS(Partidos!$R:$R,Partidos!$C:$C,Partidos!$X$2,Partidos!$D:$D,$B$3,Partidos!$G:$G,$A50)+SUMIFS(Partidos!$R:$R,Partidos!$C:$C,Partidos!$X$2,Partidos!$E:$E,$B$3,Partidos!$F:$F,$A50)+SUMIFS(Partidos!$R:$R,Partidos!$C:$C,Partidos!$X$2,Partidos!$E:$E,$B$3,Partidos!$G:$G,$A50)+SUMIFS(Partidos!$Q:$Q,Partidos!$C:$C,Partidos!$X$2,Partidos!$F:$F,$B$3,Partidos!$D:$D,$A50)+SUMIFS(Partidos!$Q:$Q,Partidos!$C:$C,Partidos!$X$2,Partidos!$F:$F,$B$3,Partidos!$E:$E,$A50)+SUMIFS(Partidos!$Q:$Q,Partidos!$C:$C,Partidos!$X$2,Partidos!$G:$G,$B$3,Partidos!$D:$D,$A50)+SUMIFS(Partidos!$Q:$Q,Partidos!$C:$C,Partidos!$X$2,Partidos!$G:$G,$B$3,Partidos!$E:$E,$A50))))</f>
        <v/>
      </c>
      <c r="H50" s="2"/>
      <c r="J50" t="str">
        <f t="shared" si="6"/>
        <v/>
      </c>
      <c r="K50" t="str">
        <f t="shared" si="7"/>
        <v/>
      </c>
    </row>
    <row r="51" spans="1:11" x14ac:dyDescent="0.3">
      <c r="A51" s="6" t="str">
        <f>IF(Jugadores!B47="","",IF(Jugadores!B47=$B$3,"",Jugadores!B47))</f>
        <v/>
      </c>
      <c r="B51" s="2" t="str">
        <f>IF($A51="","",COUNTIFS(Partidos!$C:$C,Partidos!$X$2,Partidos!$D:$D,$B$3,Partidos!$F:$F,$A51)+COUNTIFS(Partidos!$C:$C,Partidos!$X$2,Partidos!$D:$D,$B$3,Partidos!$G:$G,$A51)+COUNTIFS(Partidos!$C:$C,Partidos!$X$2,Partidos!$E:$E,$B$3,Partidos!$F:$F,$A51)+COUNTIFS(Partidos!$C:$C,Partidos!$X$2,Partidos!$E:$E,$B$3,Partidos!$G:$G,$A51)+COUNTIFS(Partidos!$C:$C,Partidos!$X$2,Partidos!$F:$F,$B$3,Partidos!$D:$D,$A51)+COUNTIFS(Partidos!$C:$C,Partidos!$X$2,Partidos!$F:$F,$B$3,Partidos!$E:$E,$A51)+COUNTIFS(Partidos!$C:$C,Partidos!$X$2,Partidos!$G:$G,$B$3,Partidos!$D:$D,$A51)+COUNTIFS(Partidos!$C:$C,Partidos!$X$2,Partidos!$G:$G,$B$3,Partidos!$E:$E,$A51))</f>
        <v/>
      </c>
      <c r="C51" s="2" t="str">
        <f>IF($A51="","",COUNTIFS(Partidos!$C:$C,Partidos!$X$2,Partidos!$P:$P,"A",Partidos!$D:$D,$B$3,Partidos!$F:$F,$A51)+COUNTIFS(Partidos!$C:$C,Partidos!$X$2,Partidos!$P:$P,"A",Partidos!$D:$D,$B$3,Partidos!$G:$G,$A51)+COUNTIFS(Partidos!$C:$C,Partidos!$X$2,Partidos!$P:$P,"A",Partidos!$E:$E,$B$3,Partidos!$F:$F,$A51)+COUNTIFS(Partidos!$C:$C,Partidos!$X$2,Partidos!$P:$P,"A",Partidos!$E:$E,$B$3,Partidos!$G:$G,$A51)+COUNTIFS(Partidos!$C:$C,Partidos!$X$2,Partidos!$P:$P,"B",Partidos!$F:$F,$B$3,Partidos!$D:$D,$A51)+COUNTIFS(Partidos!$C:$C,Partidos!$X$2,Partidos!$P:$P,"B",Partidos!$F:$F,$B$3,Partidos!$E:$E,$A51)+COUNTIFS(Partidos!$C:$C,Partidos!$X$2,Partidos!$P:$P,"B",Partidos!$G:$G,$B$3,Partidos!$D:$D,$A51)+COUNTIFS(Partidos!$C:$C,Partidos!$X$2,Partidos!$P:$P,"B",Partidos!$G:$G,$B$3,Partidos!$E:$E,$A51))</f>
        <v/>
      </c>
      <c r="D51" s="2" t="str">
        <f t="shared" si="5"/>
        <v/>
      </c>
      <c r="E51" s="11" t="str">
        <f t="shared" si="3"/>
        <v/>
      </c>
      <c r="F51" s="13" t="str">
        <f>IF($A51="","",(IF($A51="","",SUMIFS(Partidos!$N:$N,Partidos!$C:$C,Partidos!$X$2,Partidos!$D:$D,$B$3,Partidos!$F:$F,$A51)+SUMIFS(Partidos!$N:$N,Partidos!$C:$C,Partidos!$X$2,Partidos!$D:$D,$B$3,Partidos!$G:$G,$A51)+SUMIFS(Partidos!$N:$N,Partidos!$C:$C,Partidos!$X$2,Partidos!$E:$E,$B$3,Partidos!$F:$F,$A51)+SUMIFS(Partidos!$N:$N,Partidos!$C:$C,Partidos!$X$2,Partidos!$E:$E,$B$3,Partidos!$G:$G,$A51)+SUMIFS(Partidos!$O:$O,Partidos!$C:$C,Partidos!$X$2,Partidos!$F:$F,$B$3,Partidos!$D:$D,$A51)+SUMIFS(Partidos!$O:$O,Partidos!$C:$C,Partidos!$X$2,Partidos!$F:$F,$B$3,Partidos!$E:$E,$A51)+SUMIFS(Partidos!$O:$O,Partidos!$C:$C,Partidos!$X$2,Partidos!$G:$G,$B$3,Partidos!$D:$D,$A51)+SUMIFS(Partidos!$O:$O,Partidos!$C:$C,Partidos!$X$2,Partidos!$G:$G,$B$3,Partidos!$E:$E,$A51)))&amp;"-"&amp;(IF($A51="","",SUMIFS(Partidos!$O:$O,Partidos!$C:$C,Partidos!$X$2,Partidos!$D:$D,$B$3,Partidos!$F:$F,$A51)+SUMIFS(Partidos!$O:$O,Partidos!$C:$C,Partidos!$X$2,Partidos!$D:$D,$B$3,Partidos!$G:$G,$A51)+SUMIFS(Partidos!$O:$O,Partidos!$C:$C,Partidos!$X$2,Partidos!$E:$E,$B$3,Partidos!$F:$F,$A51)+SUMIFS(Partidos!$O:$O,Partidos!$C:$C,Partidos!$X$2,Partidos!$E:$E,$B$3,Partidos!$G:$G,$A51)+SUMIFS(Partidos!$N:$N,Partidos!$C:$C,Partidos!$X$2,Partidos!$F:$F,$B$3,Partidos!$D:$D,$A51)+SUMIFS(Partidos!$N:$N,Partidos!$C:$C,Partidos!$X$2,Partidos!$F:$F,$B$3,Partidos!$E:$E,$A51)+SUMIFS(Partidos!$N:$N,Partidos!$C:$C,Partidos!$X$2,Partidos!$G:$G,$B$3,Partidos!$D:$D,$A51)+SUMIFS(Partidos!$N:$N,Partidos!$C:$C,Partidos!$X$2,Partidos!$G:$G,$B$3,Partidos!$E:$E,$A51))))</f>
        <v/>
      </c>
      <c r="G51" s="10" t="str">
        <f>IF($A51="","",(IF($A51="","",SUMIFS(Partidos!$Q:$Q,Partidos!$C:$C,Partidos!$X$2,Partidos!$D:$D,$B$3,Partidos!$F:$F,$A51)+SUMIFS(Partidos!$Q:$Q,Partidos!$C:$C,Partidos!$X$2,Partidos!$D:$D,$B$3,Partidos!$G:$G,$A51)+SUMIFS(Partidos!$Q:$Q,Partidos!$C:$C,Partidos!$X$2,Partidos!$E:$E,$B$3,Partidos!$F:$F,$A51)+SUMIFS(Partidos!$Q:$Q,Partidos!$C:$C,Partidos!$X$2,Partidos!$E:$E,$B$3,Partidos!$G:$G,$A51)+SUMIFS(Partidos!$R:$R,Partidos!$C:$C,Partidos!$X$2,Partidos!$F:$F,$B$3,Partidos!$D:$D,$A51)+SUMIFS(Partidos!$R:$R,Partidos!$C:$C,Partidos!$X$2,Partidos!$F:$F,$B$3,Partidos!$E:$E,$A51)+SUMIFS(Partidos!$R:$R,Partidos!$C:$C,Partidos!$X$2,Partidos!$G:$G,$B$3,Partidos!$D:$D,$A51)+SUMIFS(Partidos!$R:$R,Partidos!$C:$C,Partidos!$X$2,Partidos!$G:$G,$B$3,Partidos!$E:$E,$A51)))-(IF($A51="","",SUMIFS(Partidos!$R:$R,Partidos!$C:$C,Partidos!$X$2,Partidos!$D:$D,$B$3,Partidos!$F:$F,$A51)+SUMIFS(Partidos!$R:$R,Partidos!$C:$C,Partidos!$X$2,Partidos!$D:$D,$B$3,Partidos!$G:$G,$A51)+SUMIFS(Partidos!$R:$R,Partidos!$C:$C,Partidos!$X$2,Partidos!$E:$E,$B$3,Partidos!$F:$F,$A51)+SUMIFS(Partidos!$R:$R,Partidos!$C:$C,Partidos!$X$2,Partidos!$E:$E,$B$3,Partidos!$G:$G,$A51)+SUMIFS(Partidos!$Q:$Q,Partidos!$C:$C,Partidos!$X$2,Partidos!$F:$F,$B$3,Partidos!$D:$D,$A51)+SUMIFS(Partidos!$Q:$Q,Partidos!$C:$C,Partidos!$X$2,Partidos!$F:$F,$B$3,Partidos!$E:$E,$A51)+SUMIFS(Partidos!$Q:$Q,Partidos!$C:$C,Partidos!$X$2,Partidos!$G:$G,$B$3,Partidos!$D:$D,$A51)+SUMIFS(Partidos!$Q:$Q,Partidos!$C:$C,Partidos!$X$2,Partidos!$G:$G,$B$3,Partidos!$E:$E,$A51))))</f>
        <v/>
      </c>
      <c r="H51" s="2"/>
      <c r="J51" t="str">
        <f t="shared" si="6"/>
        <v/>
      </c>
      <c r="K51" t="str">
        <f t="shared" si="7"/>
        <v/>
      </c>
    </row>
    <row r="52" spans="1:11" x14ac:dyDescent="0.3">
      <c r="A52" s="6" t="str">
        <f>IF(Jugadores!B48="","",IF(Jugadores!B48=$B$3,"",Jugadores!B48))</f>
        <v/>
      </c>
      <c r="B52" s="2" t="str">
        <f>IF($A52="","",COUNTIFS(Partidos!$C:$C,Partidos!$X$2,Partidos!$D:$D,$B$3,Partidos!$F:$F,$A52)+COUNTIFS(Partidos!$C:$C,Partidos!$X$2,Partidos!$D:$D,$B$3,Partidos!$G:$G,$A52)+COUNTIFS(Partidos!$C:$C,Partidos!$X$2,Partidos!$E:$E,$B$3,Partidos!$F:$F,$A52)+COUNTIFS(Partidos!$C:$C,Partidos!$X$2,Partidos!$E:$E,$B$3,Partidos!$G:$G,$A52)+COUNTIFS(Partidos!$C:$C,Partidos!$X$2,Partidos!$F:$F,$B$3,Partidos!$D:$D,$A52)+COUNTIFS(Partidos!$C:$C,Partidos!$X$2,Partidos!$F:$F,$B$3,Partidos!$E:$E,$A52)+COUNTIFS(Partidos!$C:$C,Partidos!$X$2,Partidos!$G:$G,$B$3,Partidos!$D:$D,$A52)+COUNTIFS(Partidos!$C:$C,Partidos!$X$2,Partidos!$G:$G,$B$3,Partidos!$E:$E,$A52))</f>
        <v/>
      </c>
      <c r="C52" s="2" t="str">
        <f>IF($A52="","",COUNTIFS(Partidos!$C:$C,Partidos!$X$2,Partidos!$P:$P,"A",Partidos!$D:$D,$B$3,Partidos!$F:$F,$A52)+COUNTIFS(Partidos!$C:$C,Partidos!$X$2,Partidos!$P:$P,"A",Partidos!$D:$D,$B$3,Partidos!$G:$G,$A52)+COUNTIFS(Partidos!$C:$C,Partidos!$X$2,Partidos!$P:$P,"A",Partidos!$E:$E,$B$3,Partidos!$F:$F,$A52)+COUNTIFS(Partidos!$C:$C,Partidos!$X$2,Partidos!$P:$P,"A",Partidos!$E:$E,$B$3,Partidos!$G:$G,$A52)+COUNTIFS(Partidos!$C:$C,Partidos!$X$2,Partidos!$P:$P,"B",Partidos!$F:$F,$B$3,Partidos!$D:$D,$A52)+COUNTIFS(Partidos!$C:$C,Partidos!$X$2,Partidos!$P:$P,"B",Partidos!$F:$F,$B$3,Partidos!$E:$E,$A52)+COUNTIFS(Partidos!$C:$C,Partidos!$X$2,Partidos!$P:$P,"B",Partidos!$G:$G,$B$3,Partidos!$D:$D,$A52)+COUNTIFS(Partidos!$C:$C,Partidos!$X$2,Partidos!$P:$P,"B",Partidos!$G:$G,$B$3,Partidos!$E:$E,$A52))</f>
        <v/>
      </c>
      <c r="D52" s="2" t="str">
        <f t="shared" si="5"/>
        <v/>
      </c>
      <c r="E52" s="11" t="str">
        <f t="shared" si="3"/>
        <v/>
      </c>
      <c r="F52" s="13" t="str">
        <f>IF($A52="","",(IF($A52="","",SUMIFS(Partidos!$N:$N,Partidos!$C:$C,Partidos!$X$2,Partidos!$D:$D,$B$3,Partidos!$F:$F,$A52)+SUMIFS(Partidos!$N:$N,Partidos!$C:$C,Partidos!$X$2,Partidos!$D:$D,$B$3,Partidos!$G:$G,$A52)+SUMIFS(Partidos!$N:$N,Partidos!$C:$C,Partidos!$X$2,Partidos!$E:$E,$B$3,Partidos!$F:$F,$A52)+SUMIFS(Partidos!$N:$N,Partidos!$C:$C,Partidos!$X$2,Partidos!$E:$E,$B$3,Partidos!$G:$G,$A52)+SUMIFS(Partidos!$O:$O,Partidos!$C:$C,Partidos!$X$2,Partidos!$F:$F,$B$3,Partidos!$D:$D,$A52)+SUMIFS(Partidos!$O:$O,Partidos!$C:$C,Partidos!$X$2,Partidos!$F:$F,$B$3,Partidos!$E:$E,$A52)+SUMIFS(Partidos!$O:$O,Partidos!$C:$C,Partidos!$X$2,Partidos!$G:$G,$B$3,Partidos!$D:$D,$A52)+SUMIFS(Partidos!$O:$O,Partidos!$C:$C,Partidos!$X$2,Partidos!$G:$G,$B$3,Partidos!$E:$E,$A52)))&amp;"-"&amp;(IF($A52="","",SUMIFS(Partidos!$O:$O,Partidos!$C:$C,Partidos!$X$2,Partidos!$D:$D,$B$3,Partidos!$F:$F,$A52)+SUMIFS(Partidos!$O:$O,Partidos!$C:$C,Partidos!$X$2,Partidos!$D:$D,$B$3,Partidos!$G:$G,$A52)+SUMIFS(Partidos!$O:$O,Partidos!$C:$C,Partidos!$X$2,Partidos!$E:$E,$B$3,Partidos!$F:$F,$A52)+SUMIFS(Partidos!$O:$O,Partidos!$C:$C,Partidos!$X$2,Partidos!$E:$E,$B$3,Partidos!$G:$G,$A52)+SUMIFS(Partidos!$N:$N,Partidos!$C:$C,Partidos!$X$2,Partidos!$F:$F,$B$3,Partidos!$D:$D,$A52)+SUMIFS(Partidos!$N:$N,Partidos!$C:$C,Partidos!$X$2,Partidos!$F:$F,$B$3,Partidos!$E:$E,$A52)+SUMIFS(Partidos!$N:$N,Partidos!$C:$C,Partidos!$X$2,Partidos!$G:$G,$B$3,Partidos!$D:$D,$A52)+SUMIFS(Partidos!$N:$N,Partidos!$C:$C,Partidos!$X$2,Partidos!$G:$G,$B$3,Partidos!$E:$E,$A52))))</f>
        <v/>
      </c>
      <c r="G52" s="10" t="str">
        <f>IF($A52="","",(IF($A52="","",SUMIFS(Partidos!$Q:$Q,Partidos!$C:$C,Partidos!$X$2,Partidos!$D:$D,$B$3,Partidos!$F:$F,$A52)+SUMIFS(Partidos!$Q:$Q,Partidos!$C:$C,Partidos!$X$2,Partidos!$D:$D,$B$3,Partidos!$G:$G,$A52)+SUMIFS(Partidos!$Q:$Q,Partidos!$C:$C,Partidos!$X$2,Partidos!$E:$E,$B$3,Partidos!$F:$F,$A52)+SUMIFS(Partidos!$Q:$Q,Partidos!$C:$C,Partidos!$X$2,Partidos!$E:$E,$B$3,Partidos!$G:$G,$A52)+SUMIFS(Partidos!$R:$R,Partidos!$C:$C,Partidos!$X$2,Partidos!$F:$F,$B$3,Partidos!$D:$D,$A52)+SUMIFS(Partidos!$R:$R,Partidos!$C:$C,Partidos!$X$2,Partidos!$F:$F,$B$3,Partidos!$E:$E,$A52)+SUMIFS(Partidos!$R:$R,Partidos!$C:$C,Partidos!$X$2,Partidos!$G:$G,$B$3,Partidos!$D:$D,$A52)+SUMIFS(Partidos!$R:$R,Partidos!$C:$C,Partidos!$X$2,Partidos!$G:$G,$B$3,Partidos!$E:$E,$A52)))-(IF($A52="","",SUMIFS(Partidos!$R:$R,Partidos!$C:$C,Partidos!$X$2,Partidos!$D:$D,$B$3,Partidos!$F:$F,$A52)+SUMIFS(Partidos!$R:$R,Partidos!$C:$C,Partidos!$X$2,Partidos!$D:$D,$B$3,Partidos!$G:$G,$A52)+SUMIFS(Partidos!$R:$R,Partidos!$C:$C,Partidos!$X$2,Partidos!$E:$E,$B$3,Partidos!$F:$F,$A52)+SUMIFS(Partidos!$R:$R,Partidos!$C:$C,Partidos!$X$2,Partidos!$E:$E,$B$3,Partidos!$G:$G,$A52)+SUMIFS(Partidos!$Q:$Q,Partidos!$C:$C,Partidos!$X$2,Partidos!$F:$F,$B$3,Partidos!$D:$D,$A52)+SUMIFS(Partidos!$Q:$Q,Partidos!$C:$C,Partidos!$X$2,Partidos!$F:$F,$B$3,Partidos!$E:$E,$A52)+SUMIFS(Partidos!$Q:$Q,Partidos!$C:$C,Partidos!$X$2,Partidos!$G:$G,$B$3,Partidos!$D:$D,$A52)+SUMIFS(Partidos!$Q:$Q,Partidos!$C:$C,Partidos!$X$2,Partidos!$G:$G,$B$3,Partidos!$E:$E,$A52))))</f>
        <v/>
      </c>
      <c r="H52" s="2"/>
      <c r="J52" t="str">
        <f t="shared" si="6"/>
        <v/>
      </c>
      <c r="K52" t="str">
        <f t="shared" si="7"/>
        <v/>
      </c>
    </row>
    <row r="53" spans="1:11" x14ac:dyDescent="0.3">
      <c r="A53" s="6" t="str">
        <f>IF(Jugadores!B49="","",IF(Jugadores!B49=$B$3,"",Jugadores!B49))</f>
        <v/>
      </c>
      <c r="B53" s="2" t="str">
        <f>IF($A53="","",COUNTIFS(Partidos!$C:$C,Partidos!$X$2,Partidos!$D:$D,$B$3,Partidos!$F:$F,$A53)+COUNTIFS(Partidos!$C:$C,Partidos!$X$2,Partidos!$D:$D,$B$3,Partidos!$G:$G,$A53)+COUNTIFS(Partidos!$C:$C,Partidos!$X$2,Partidos!$E:$E,$B$3,Partidos!$F:$F,$A53)+COUNTIFS(Partidos!$C:$C,Partidos!$X$2,Partidos!$E:$E,$B$3,Partidos!$G:$G,$A53)+COUNTIFS(Partidos!$C:$C,Partidos!$X$2,Partidos!$F:$F,$B$3,Partidos!$D:$D,$A53)+COUNTIFS(Partidos!$C:$C,Partidos!$X$2,Partidos!$F:$F,$B$3,Partidos!$E:$E,$A53)+COUNTIFS(Partidos!$C:$C,Partidos!$X$2,Partidos!$G:$G,$B$3,Partidos!$D:$D,$A53)+COUNTIFS(Partidos!$C:$C,Partidos!$X$2,Partidos!$G:$G,$B$3,Partidos!$E:$E,$A53))</f>
        <v/>
      </c>
      <c r="C53" s="2" t="str">
        <f>IF($A53="","",COUNTIFS(Partidos!$C:$C,Partidos!$X$2,Partidos!$P:$P,"A",Partidos!$D:$D,$B$3,Partidos!$F:$F,$A53)+COUNTIFS(Partidos!$C:$C,Partidos!$X$2,Partidos!$P:$P,"A",Partidos!$D:$D,$B$3,Partidos!$G:$G,$A53)+COUNTIFS(Partidos!$C:$C,Partidos!$X$2,Partidos!$P:$P,"A",Partidos!$E:$E,$B$3,Partidos!$F:$F,$A53)+COUNTIFS(Partidos!$C:$C,Partidos!$X$2,Partidos!$P:$P,"A",Partidos!$E:$E,$B$3,Partidos!$G:$G,$A53)+COUNTIFS(Partidos!$C:$C,Partidos!$X$2,Partidos!$P:$P,"B",Partidos!$F:$F,$B$3,Partidos!$D:$D,$A53)+COUNTIFS(Partidos!$C:$C,Partidos!$X$2,Partidos!$P:$P,"B",Partidos!$F:$F,$B$3,Partidos!$E:$E,$A53)+COUNTIFS(Partidos!$C:$C,Partidos!$X$2,Partidos!$P:$P,"B",Partidos!$G:$G,$B$3,Partidos!$D:$D,$A53)+COUNTIFS(Partidos!$C:$C,Partidos!$X$2,Partidos!$P:$P,"B",Partidos!$G:$G,$B$3,Partidos!$E:$E,$A53))</f>
        <v/>
      </c>
      <c r="D53" s="2" t="str">
        <f t="shared" si="5"/>
        <v/>
      </c>
      <c r="E53" s="11" t="str">
        <f t="shared" si="3"/>
        <v/>
      </c>
      <c r="F53" s="13" t="str">
        <f>IF($A53="","",(IF($A53="","",SUMIFS(Partidos!$N:$N,Partidos!$C:$C,Partidos!$X$2,Partidos!$D:$D,$B$3,Partidos!$F:$F,$A53)+SUMIFS(Partidos!$N:$N,Partidos!$C:$C,Partidos!$X$2,Partidos!$D:$D,$B$3,Partidos!$G:$G,$A53)+SUMIFS(Partidos!$N:$N,Partidos!$C:$C,Partidos!$X$2,Partidos!$E:$E,$B$3,Partidos!$F:$F,$A53)+SUMIFS(Partidos!$N:$N,Partidos!$C:$C,Partidos!$X$2,Partidos!$E:$E,$B$3,Partidos!$G:$G,$A53)+SUMIFS(Partidos!$O:$O,Partidos!$C:$C,Partidos!$X$2,Partidos!$F:$F,$B$3,Partidos!$D:$D,$A53)+SUMIFS(Partidos!$O:$O,Partidos!$C:$C,Partidos!$X$2,Partidos!$F:$F,$B$3,Partidos!$E:$E,$A53)+SUMIFS(Partidos!$O:$O,Partidos!$C:$C,Partidos!$X$2,Partidos!$G:$G,$B$3,Partidos!$D:$D,$A53)+SUMIFS(Partidos!$O:$O,Partidos!$C:$C,Partidos!$X$2,Partidos!$G:$G,$B$3,Partidos!$E:$E,$A53)))&amp;"-"&amp;(IF($A53="","",SUMIFS(Partidos!$O:$O,Partidos!$C:$C,Partidos!$X$2,Partidos!$D:$D,$B$3,Partidos!$F:$F,$A53)+SUMIFS(Partidos!$O:$O,Partidos!$C:$C,Partidos!$X$2,Partidos!$D:$D,$B$3,Partidos!$G:$G,$A53)+SUMIFS(Partidos!$O:$O,Partidos!$C:$C,Partidos!$X$2,Partidos!$E:$E,$B$3,Partidos!$F:$F,$A53)+SUMIFS(Partidos!$O:$O,Partidos!$C:$C,Partidos!$X$2,Partidos!$E:$E,$B$3,Partidos!$G:$G,$A53)+SUMIFS(Partidos!$N:$N,Partidos!$C:$C,Partidos!$X$2,Partidos!$F:$F,$B$3,Partidos!$D:$D,$A53)+SUMIFS(Partidos!$N:$N,Partidos!$C:$C,Partidos!$X$2,Partidos!$F:$F,$B$3,Partidos!$E:$E,$A53)+SUMIFS(Partidos!$N:$N,Partidos!$C:$C,Partidos!$X$2,Partidos!$G:$G,$B$3,Partidos!$D:$D,$A53)+SUMIFS(Partidos!$N:$N,Partidos!$C:$C,Partidos!$X$2,Partidos!$G:$G,$B$3,Partidos!$E:$E,$A53))))</f>
        <v/>
      </c>
      <c r="G53" s="10" t="str">
        <f>IF($A53="","",(IF($A53="","",SUMIFS(Partidos!$Q:$Q,Partidos!$C:$C,Partidos!$X$2,Partidos!$D:$D,$B$3,Partidos!$F:$F,$A53)+SUMIFS(Partidos!$Q:$Q,Partidos!$C:$C,Partidos!$X$2,Partidos!$D:$D,$B$3,Partidos!$G:$G,$A53)+SUMIFS(Partidos!$Q:$Q,Partidos!$C:$C,Partidos!$X$2,Partidos!$E:$E,$B$3,Partidos!$F:$F,$A53)+SUMIFS(Partidos!$Q:$Q,Partidos!$C:$C,Partidos!$X$2,Partidos!$E:$E,$B$3,Partidos!$G:$G,$A53)+SUMIFS(Partidos!$R:$R,Partidos!$C:$C,Partidos!$X$2,Partidos!$F:$F,$B$3,Partidos!$D:$D,$A53)+SUMIFS(Partidos!$R:$R,Partidos!$C:$C,Partidos!$X$2,Partidos!$F:$F,$B$3,Partidos!$E:$E,$A53)+SUMIFS(Partidos!$R:$R,Partidos!$C:$C,Partidos!$X$2,Partidos!$G:$G,$B$3,Partidos!$D:$D,$A53)+SUMIFS(Partidos!$R:$R,Partidos!$C:$C,Partidos!$X$2,Partidos!$G:$G,$B$3,Partidos!$E:$E,$A53)))-(IF($A53="","",SUMIFS(Partidos!$R:$R,Partidos!$C:$C,Partidos!$X$2,Partidos!$D:$D,$B$3,Partidos!$F:$F,$A53)+SUMIFS(Partidos!$R:$R,Partidos!$C:$C,Partidos!$X$2,Partidos!$D:$D,$B$3,Partidos!$G:$G,$A53)+SUMIFS(Partidos!$R:$R,Partidos!$C:$C,Partidos!$X$2,Partidos!$E:$E,$B$3,Partidos!$F:$F,$A53)+SUMIFS(Partidos!$R:$R,Partidos!$C:$C,Partidos!$X$2,Partidos!$E:$E,$B$3,Partidos!$G:$G,$A53)+SUMIFS(Partidos!$Q:$Q,Partidos!$C:$C,Partidos!$X$2,Partidos!$F:$F,$B$3,Partidos!$D:$D,$A53)+SUMIFS(Partidos!$Q:$Q,Partidos!$C:$C,Partidos!$X$2,Partidos!$F:$F,$B$3,Partidos!$E:$E,$A53)+SUMIFS(Partidos!$Q:$Q,Partidos!$C:$C,Partidos!$X$2,Partidos!$G:$G,$B$3,Partidos!$D:$D,$A53)+SUMIFS(Partidos!$Q:$Q,Partidos!$C:$C,Partidos!$X$2,Partidos!$G:$G,$B$3,Partidos!$E:$E,$A53))))</f>
        <v/>
      </c>
      <c r="H53" s="2"/>
      <c r="J53" t="str">
        <f t="shared" si="6"/>
        <v/>
      </c>
      <c r="K53" t="str">
        <f t="shared" si="7"/>
        <v/>
      </c>
    </row>
    <row r="54" spans="1:11" x14ac:dyDescent="0.3">
      <c r="A54" s="6" t="str">
        <f>IF(Jugadores!B50="","",IF(Jugadores!B50=$B$3,"",Jugadores!B50))</f>
        <v/>
      </c>
      <c r="B54" s="2" t="str">
        <f>IF($A54="","",COUNTIFS(Partidos!$C:$C,Partidos!$X$2,Partidos!$D:$D,$B$3,Partidos!$F:$F,$A54)+COUNTIFS(Partidos!$C:$C,Partidos!$X$2,Partidos!$D:$D,$B$3,Partidos!$G:$G,$A54)+COUNTIFS(Partidos!$C:$C,Partidos!$X$2,Partidos!$E:$E,$B$3,Partidos!$F:$F,$A54)+COUNTIFS(Partidos!$C:$C,Partidos!$X$2,Partidos!$E:$E,$B$3,Partidos!$G:$G,$A54)+COUNTIFS(Partidos!$C:$C,Partidos!$X$2,Partidos!$F:$F,$B$3,Partidos!$D:$D,$A54)+COUNTIFS(Partidos!$C:$C,Partidos!$X$2,Partidos!$F:$F,$B$3,Partidos!$E:$E,$A54)+COUNTIFS(Partidos!$C:$C,Partidos!$X$2,Partidos!$G:$G,$B$3,Partidos!$D:$D,$A54)+COUNTIFS(Partidos!$C:$C,Partidos!$X$2,Partidos!$G:$G,$B$3,Partidos!$E:$E,$A54))</f>
        <v/>
      </c>
      <c r="C54" s="2" t="str">
        <f>IF($A54="","",COUNTIFS(Partidos!$C:$C,Partidos!$X$2,Partidos!$P:$P,"A",Partidos!$D:$D,$B$3,Partidos!$F:$F,$A54)+COUNTIFS(Partidos!$C:$C,Partidos!$X$2,Partidos!$P:$P,"A",Partidos!$D:$D,$B$3,Partidos!$G:$G,$A54)+COUNTIFS(Partidos!$C:$C,Partidos!$X$2,Partidos!$P:$P,"A",Partidos!$E:$E,$B$3,Partidos!$F:$F,$A54)+COUNTIFS(Partidos!$C:$C,Partidos!$X$2,Partidos!$P:$P,"A",Partidos!$E:$E,$B$3,Partidos!$G:$G,$A54)+COUNTIFS(Partidos!$C:$C,Partidos!$X$2,Partidos!$P:$P,"B",Partidos!$F:$F,$B$3,Partidos!$D:$D,$A54)+COUNTIFS(Partidos!$C:$C,Partidos!$X$2,Partidos!$P:$P,"B",Partidos!$F:$F,$B$3,Partidos!$E:$E,$A54)+COUNTIFS(Partidos!$C:$C,Partidos!$X$2,Partidos!$P:$P,"B",Partidos!$G:$G,$B$3,Partidos!$D:$D,$A54)+COUNTIFS(Partidos!$C:$C,Partidos!$X$2,Partidos!$P:$P,"B",Partidos!$G:$G,$B$3,Partidos!$E:$E,$A54))</f>
        <v/>
      </c>
      <c r="D54" s="2" t="str">
        <f t="shared" si="5"/>
        <v/>
      </c>
      <c r="E54" s="11" t="str">
        <f t="shared" si="3"/>
        <v/>
      </c>
      <c r="F54" s="13" t="str">
        <f>IF($A54="","",(IF($A54="","",SUMIFS(Partidos!$N:$N,Partidos!$C:$C,Partidos!$X$2,Partidos!$D:$D,$B$3,Partidos!$F:$F,$A54)+SUMIFS(Partidos!$N:$N,Partidos!$C:$C,Partidos!$X$2,Partidos!$D:$D,$B$3,Partidos!$G:$G,$A54)+SUMIFS(Partidos!$N:$N,Partidos!$C:$C,Partidos!$X$2,Partidos!$E:$E,$B$3,Partidos!$F:$F,$A54)+SUMIFS(Partidos!$N:$N,Partidos!$C:$C,Partidos!$X$2,Partidos!$E:$E,$B$3,Partidos!$G:$G,$A54)+SUMIFS(Partidos!$O:$O,Partidos!$C:$C,Partidos!$X$2,Partidos!$F:$F,$B$3,Partidos!$D:$D,$A54)+SUMIFS(Partidos!$O:$O,Partidos!$C:$C,Partidos!$X$2,Partidos!$F:$F,$B$3,Partidos!$E:$E,$A54)+SUMIFS(Partidos!$O:$O,Partidos!$C:$C,Partidos!$X$2,Partidos!$G:$G,$B$3,Partidos!$D:$D,$A54)+SUMIFS(Partidos!$O:$O,Partidos!$C:$C,Partidos!$X$2,Partidos!$G:$G,$B$3,Partidos!$E:$E,$A54)))&amp;"-"&amp;(IF($A54="","",SUMIFS(Partidos!$O:$O,Partidos!$C:$C,Partidos!$X$2,Partidos!$D:$D,$B$3,Partidos!$F:$F,$A54)+SUMIFS(Partidos!$O:$O,Partidos!$C:$C,Partidos!$X$2,Partidos!$D:$D,$B$3,Partidos!$G:$G,$A54)+SUMIFS(Partidos!$O:$O,Partidos!$C:$C,Partidos!$X$2,Partidos!$E:$E,$B$3,Partidos!$F:$F,$A54)+SUMIFS(Partidos!$O:$O,Partidos!$C:$C,Partidos!$X$2,Partidos!$E:$E,$B$3,Partidos!$G:$G,$A54)+SUMIFS(Partidos!$N:$N,Partidos!$C:$C,Partidos!$X$2,Partidos!$F:$F,$B$3,Partidos!$D:$D,$A54)+SUMIFS(Partidos!$N:$N,Partidos!$C:$C,Partidos!$X$2,Partidos!$F:$F,$B$3,Partidos!$E:$E,$A54)+SUMIFS(Partidos!$N:$N,Partidos!$C:$C,Partidos!$X$2,Partidos!$G:$G,$B$3,Partidos!$D:$D,$A54)+SUMIFS(Partidos!$N:$N,Partidos!$C:$C,Partidos!$X$2,Partidos!$G:$G,$B$3,Partidos!$E:$E,$A54))))</f>
        <v/>
      </c>
      <c r="G54" s="10" t="str">
        <f>IF($A54="","",(IF($A54="","",SUMIFS(Partidos!$Q:$Q,Partidos!$C:$C,Partidos!$X$2,Partidos!$D:$D,$B$3,Partidos!$F:$F,$A54)+SUMIFS(Partidos!$Q:$Q,Partidos!$C:$C,Partidos!$X$2,Partidos!$D:$D,$B$3,Partidos!$G:$G,$A54)+SUMIFS(Partidos!$Q:$Q,Partidos!$C:$C,Partidos!$X$2,Partidos!$E:$E,$B$3,Partidos!$F:$F,$A54)+SUMIFS(Partidos!$Q:$Q,Partidos!$C:$C,Partidos!$X$2,Partidos!$E:$E,$B$3,Partidos!$G:$G,$A54)+SUMIFS(Partidos!$R:$R,Partidos!$C:$C,Partidos!$X$2,Partidos!$F:$F,$B$3,Partidos!$D:$D,$A54)+SUMIFS(Partidos!$R:$R,Partidos!$C:$C,Partidos!$X$2,Partidos!$F:$F,$B$3,Partidos!$E:$E,$A54)+SUMIFS(Partidos!$R:$R,Partidos!$C:$C,Partidos!$X$2,Partidos!$G:$G,$B$3,Partidos!$D:$D,$A54)+SUMIFS(Partidos!$R:$R,Partidos!$C:$C,Partidos!$X$2,Partidos!$G:$G,$B$3,Partidos!$E:$E,$A54)))-(IF($A54="","",SUMIFS(Partidos!$R:$R,Partidos!$C:$C,Partidos!$X$2,Partidos!$D:$D,$B$3,Partidos!$F:$F,$A54)+SUMIFS(Partidos!$R:$R,Partidos!$C:$C,Partidos!$X$2,Partidos!$D:$D,$B$3,Partidos!$G:$G,$A54)+SUMIFS(Partidos!$R:$R,Partidos!$C:$C,Partidos!$X$2,Partidos!$E:$E,$B$3,Partidos!$F:$F,$A54)+SUMIFS(Partidos!$R:$R,Partidos!$C:$C,Partidos!$X$2,Partidos!$E:$E,$B$3,Partidos!$G:$G,$A54)+SUMIFS(Partidos!$Q:$Q,Partidos!$C:$C,Partidos!$X$2,Partidos!$F:$F,$B$3,Partidos!$D:$D,$A54)+SUMIFS(Partidos!$Q:$Q,Partidos!$C:$C,Partidos!$X$2,Partidos!$F:$F,$B$3,Partidos!$E:$E,$A54)+SUMIFS(Partidos!$Q:$Q,Partidos!$C:$C,Partidos!$X$2,Partidos!$G:$G,$B$3,Partidos!$D:$D,$A54)+SUMIFS(Partidos!$Q:$Q,Partidos!$C:$C,Partidos!$X$2,Partidos!$G:$G,$B$3,Partidos!$E:$E,$A54))))</f>
        <v/>
      </c>
      <c r="H54" s="2"/>
      <c r="J54" t="str">
        <f t="shared" si="6"/>
        <v/>
      </c>
      <c r="K54" t="str">
        <f t="shared" si="7"/>
        <v/>
      </c>
    </row>
    <row r="55" spans="1:11" x14ac:dyDescent="0.3">
      <c r="A55" s="6" t="str">
        <f>IF(Jugadores!B51="","",IF(Jugadores!B51=$B$3,"",Jugadores!B51))</f>
        <v/>
      </c>
      <c r="B55" s="2" t="str">
        <f>IF($A55="","",COUNTIFS(Partidos!$C:$C,Partidos!$X$2,Partidos!$D:$D,$B$3,Partidos!$F:$F,$A55)+COUNTIFS(Partidos!$C:$C,Partidos!$X$2,Partidos!$D:$D,$B$3,Partidos!$G:$G,$A55)+COUNTIFS(Partidos!$C:$C,Partidos!$X$2,Partidos!$E:$E,$B$3,Partidos!$F:$F,$A55)+COUNTIFS(Partidos!$C:$C,Partidos!$X$2,Partidos!$E:$E,$B$3,Partidos!$G:$G,$A55)+COUNTIFS(Partidos!$C:$C,Partidos!$X$2,Partidos!$F:$F,$B$3,Partidos!$D:$D,$A55)+COUNTIFS(Partidos!$C:$C,Partidos!$X$2,Partidos!$F:$F,$B$3,Partidos!$E:$E,$A55)+COUNTIFS(Partidos!$C:$C,Partidos!$X$2,Partidos!$G:$G,$B$3,Partidos!$D:$D,$A55)+COUNTIFS(Partidos!$C:$C,Partidos!$X$2,Partidos!$G:$G,$B$3,Partidos!$E:$E,$A55))</f>
        <v/>
      </c>
      <c r="C55" s="2" t="str">
        <f>IF($A55="","",COUNTIFS(Partidos!$C:$C,Partidos!$X$2,Partidos!$P:$P,"A",Partidos!$D:$D,$B$3,Partidos!$F:$F,$A55)+COUNTIFS(Partidos!$C:$C,Partidos!$X$2,Partidos!$P:$P,"A",Partidos!$D:$D,$B$3,Partidos!$G:$G,$A55)+COUNTIFS(Partidos!$C:$C,Partidos!$X$2,Partidos!$P:$P,"A",Partidos!$E:$E,$B$3,Partidos!$F:$F,$A55)+COUNTIFS(Partidos!$C:$C,Partidos!$X$2,Partidos!$P:$P,"A",Partidos!$E:$E,$B$3,Partidos!$G:$G,$A55)+COUNTIFS(Partidos!$C:$C,Partidos!$X$2,Partidos!$P:$P,"B",Partidos!$F:$F,$B$3,Partidos!$D:$D,$A55)+COUNTIFS(Partidos!$C:$C,Partidos!$X$2,Partidos!$P:$P,"B",Partidos!$F:$F,$B$3,Partidos!$E:$E,$A55)+COUNTIFS(Partidos!$C:$C,Partidos!$X$2,Partidos!$P:$P,"B",Partidos!$G:$G,$B$3,Partidos!$D:$D,$A55)+COUNTIFS(Partidos!$C:$C,Partidos!$X$2,Partidos!$P:$P,"B",Partidos!$G:$G,$B$3,Partidos!$E:$E,$A55))</f>
        <v/>
      </c>
      <c r="D55" s="2" t="str">
        <f t="shared" si="5"/>
        <v/>
      </c>
      <c r="E55" s="11" t="str">
        <f t="shared" si="3"/>
        <v/>
      </c>
      <c r="F55" s="13" t="str">
        <f>IF($A55="","",(IF($A55="","",SUMIFS(Partidos!$N:$N,Partidos!$C:$C,Partidos!$X$2,Partidos!$D:$D,$B$3,Partidos!$F:$F,$A55)+SUMIFS(Partidos!$N:$N,Partidos!$C:$C,Partidos!$X$2,Partidos!$D:$D,$B$3,Partidos!$G:$G,$A55)+SUMIFS(Partidos!$N:$N,Partidos!$C:$C,Partidos!$X$2,Partidos!$E:$E,$B$3,Partidos!$F:$F,$A55)+SUMIFS(Partidos!$N:$N,Partidos!$C:$C,Partidos!$X$2,Partidos!$E:$E,$B$3,Partidos!$G:$G,$A55)+SUMIFS(Partidos!$O:$O,Partidos!$C:$C,Partidos!$X$2,Partidos!$F:$F,$B$3,Partidos!$D:$D,$A55)+SUMIFS(Partidos!$O:$O,Partidos!$C:$C,Partidos!$X$2,Partidos!$F:$F,$B$3,Partidos!$E:$E,$A55)+SUMIFS(Partidos!$O:$O,Partidos!$C:$C,Partidos!$X$2,Partidos!$G:$G,$B$3,Partidos!$D:$D,$A55)+SUMIFS(Partidos!$O:$O,Partidos!$C:$C,Partidos!$X$2,Partidos!$G:$G,$B$3,Partidos!$E:$E,$A55)))&amp;"-"&amp;(IF($A55="","",SUMIFS(Partidos!$O:$O,Partidos!$C:$C,Partidos!$X$2,Partidos!$D:$D,$B$3,Partidos!$F:$F,$A55)+SUMIFS(Partidos!$O:$O,Partidos!$C:$C,Partidos!$X$2,Partidos!$D:$D,$B$3,Partidos!$G:$G,$A55)+SUMIFS(Partidos!$O:$O,Partidos!$C:$C,Partidos!$X$2,Partidos!$E:$E,$B$3,Partidos!$F:$F,$A55)+SUMIFS(Partidos!$O:$O,Partidos!$C:$C,Partidos!$X$2,Partidos!$E:$E,$B$3,Partidos!$G:$G,$A55)+SUMIFS(Partidos!$N:$N,Partidos!$C:$C,Partidos!$X$2,Partidos!$F:$F,$B$3,Partidos!$D:$D,$A55)+SUMIFS(Partidos!$N:$N,Partidos!$C:$C,Partidos!$X$2,Partidos!$F:$F,$B$3,Partidos!$E:$E,$A55)+SUMIFS(Partidos!$N:$N,Partidos!$C:$C,Partidos!$X$2,Partidos!$G:$G,$B$3,Partidos!$D:$D,$A55)+SUMIFS(Partidos!$N:$N,Partidos!$C:$C,Partidos!$X$2,Partidos!$G:$G,$B$3,Partidos!$E:$E,$A55))))</f>
        <v/>
      </c>
      <c r="G55" s="10" t="str">
        <f>IF($A55="","",(IF($A55="","",SUMIFS(Partidos!$Q:$Q,Partidos!$C:$C,Partidos!$X$2,Partidos!$D:$D,$B$3,Partidos!$F:$F,$A55)+SUMIFS(Partidos!$Q:$Q,Partidos!$C:$C,Partidos!$X$2,Partidos!$D:$D,$B$3,Partidos!$G:$G,$A55)+SUMIFS(Partidos!$Q:$Q,Partidos!$C:$C,Partidos!$X$2,Partidos!$E:$E,$B$3,Partidos!$F:$F,$A55)+SUMIFS(Partidos!$Q:$Q,Partidos!$C:$C,Partidos!$X$2,Partidos!$E:$E,$B$3,Partidos!$G:$G,$A55)+SUMIFS(Partidos!$R:$R,Partidos!$C:$C,Partidos!$X$2,Partidos!$F:$F,$B$3,Partidos!$D:$D,$A55)+SUMIFS(Partidos!$R:$R,Partidos!$C:$C,Partidos!$X$2,Partidos!$F:$F,$B$3,Partidos!$E:$E,$A55)+SUMIFS(Partidos!$R:$R,Partidos!$C:$C,Partidos!$X$2,Partidos!$G:$G,$B$3,Partidos!$D:$D,$A55)+SUMIFS(Partidos!$R:$R,Partidos!$C:$C,Partidos!$X$2,Partidos!$G:$G,$B$3,Partidos!$E:$E,$A55)))-(IF($A55="","",SUMIFS(Partidos!$R:$R,Partidos!$C:$C,Partidos!$X$2,Partidos!$D:$D,$B$3,Partidos!$F:$F,$A55)+SUMIFS(Partidos!$R:$R,Partidos!$C:$C,Partidos!$X$2,Partidos!$D:$D,$B$3,Partidos!$G:$G,$A55)+SUMIFS(Partidos!$R:$R,Partidos!$C:$C,Partidos!$X$2,Partidos!$E:$E,$B$3,Partidos!$F:$F,$A55)+SUMIFS(Partidos!$R:$R,Partidos!$C:$C,Partidos!$X$2,Partidos!$E:$E,$B$3,Partidos!$G:$G,$A55)+SUMIFS(Partidos!$Q:$Q,Partidos!$C:$C,Partidos!$X$2,Partidos!$F:$F,$B$3,Partidos!$D:$D,$A55)+SUMIFS(Partidos!$Q:$Q,Partidos!$C:$C,Partidos!$X$2,Partidos!$F:$F,$B$3,Partidos!$E:$E,$A55)+SUMIFS(Partidos!$Q:$Q,Partidos!$C:$C,Partidos!$X$2,Partidos!$G:$G,$B$3,Partidos!$D:$D,$A55)+SUMIFS(Partidos!$Q:$Q,Partidos!$C:$C,Partidos!$X$2,Partidos!$G:$G,$B$3,Partidos!$E:$E,$A55))))</f>
        <v/>
      </c>
      <c r="H55" s="2"/>
      <c r="J55" t="str">
        <f t="shared" si="6"/>
        <v/>
      </c>
      <c r="K55" t="str">
        <f t="shared" si="7"/>
        <v/>
      </c>
    </row>
    <row r="56" spans="1:11" x14ac:dyDescent="0.3">
      <c r="A56" s="6" t="str">
        <f>IF(Jugadores!B52="","",IF(Jugadores!B52=$B$3,"",Jugadores!B52))</f>
        <v/>
      </c>
      <c r="B56" s="2" t="str">
        <f>IF($A56="","",COUNTIFS(Partidos!$C:$C,Partidos!$X$2,Partidos!$D:$D,$B$3,Partidos!$F:$F,$A56)+COUNTIFS(Partidos!$C:$C,Partidos!$X$2,Partidos!$D:$D,$B$3,Partidos!$G:$G,$A56)+COUNTIFS(Partidos!$C:$C,Partidos!$X$2,Partidos!$E:$E,$B$3,Partidos!$F:$F,$A56)+COUNTIFS(Partidos!$C:$C,Partidos!$X$2,Partidos!$E:$E,$B$3,Partidos!$G:$G,$A56)+COUNTIFS(Partidos!$C:$C,Partidos!$X$2,Partidos!$F:$F,$B$3,Partidos!$D:$D,$A56)+COUNTIFS(Partidos!$C:$C,Partidos!$X$2,Partidos!$F:$F,$B$3,Partidos!$E:$E,$A56)+COUNTIFS(Partidos!$C:$C,Partidos!$X$2,Partidos!$G:$G,$B$3,Partidos!$D:$D,$A56)+COUNTIFS(Partidos!$C:$C,Partidos!$X$2,Partidos!$G:$G,$B$3,Partidos!$E:$E,$A56))</f>
        <v/>
      </c>
      <c r="C56" s="2" t="str">
        <f>IF($A56="","",COUNTIFS(Partidos!$C:$C,Partidos!$X$2,Partidos!$P:$P,"A",Partidos!$D:$D,$B$3,Partidos!$F:$F,$A56)+COUNTIFS(Partidos!$C:$C,Partidos!$X$2,Partidos!$P:$P,"A",Partidos!$D:$D,$B$3,Partidos!$G:$G,$A56)+COUNTIFS(Partidos!$C:$C,Partidos!$X$2,Partidos!$P:$P,"A",Partidos!$E:$E,$B$3,Partidos!$F:$F,$A56)+COUNTIFS(Partidos!$C:$C,Partidos!$X$2,Partidos!$P:$P,"A",Partidos!$E:$E,$B$3,Partidos!$G:$G,$A56)+COUNTIFS(Partidos!$C:$C,Partidos!$X$2,Partidos!$P:$P,"B",Partidos!$F:$F,$B$3,Partidos!$D:$D,$A56)+COUNTIFS(Partidos!$C:$C,Partidos!$X$2,Partidos!$P:$P,"B",Partidos!$F:$F,$B$3,Partidos!$E:$E,$A56)+COUNTIFS(Partidos!$C:$C,Partidos!$X$2,Partidos!$P:$P,"B",Partidos!$G:$G,$B$3,Partidos!$D:$D,$A56)+COUNTIFS(Partidos!$C:$C,Partidos!$X$2,Partidos!$P:$P,"B",Partidos!$G:$G,$B$3,Partidos!$E:$E,$A56))</f>
        <v/>
      </c>
      <c r="D56" s="2" t="str">
        <f t="shared" si="5"/>
        <v/>
      </c>
      <c r="E56" s="11" t="str">
        <f t="shared" si="3"/>
        <v/>
      </c>
      <c r="F56" s="13" t="str">
        <f>IF($A56="","",(IF($A56="","",SUMIFS(Partidos!$N:$N,Partidos!$C:$C,Partidos!$X$2,Partidos!$D:$D,$B$3,Partidos!$F:$F,$A56)+SUMIFS(Partidos!$N:$N,Partidos!$C:$C,Partidos!$X$2,Partidos!$D:$D,$B$3,Partidos!$G:$G,$A56)+SUMIFS(Partidos!$N:$N,Partidos!$C:$C,Partidos!$X$2,Partidos!$E:$E,$B$3,Partidos!$F:$F,$A56)+SUMIFS(Partidos!$N:$N,Partidos!$C:$C,Partidos!$X$2,Partidos!$E:$E,$B$3,Partidos!$G:$G,$A56)+SUMIFS(Partidos!$O:$O,Partidos!$C:$C,Partidos!$X$2,Partidos!$F:$F,$B$3,Partidos!$D:$D,$A56)+SUMIFS(Partidos!$O:$O,Partidos!$C:$C,Partidos!$X$2,Partidos!$F:$F,$B$3,Partidos!$E:$E,$A56)+SUMIFS(Partidos!$O:$O,Partidos!$C:$C,Partidos!$X$2,Partidos!$G:$G,$B$3,Partidos!$D:$D,$A56)+SUMIFS(Partidos!$O:$O,Partidos!$C:$C,Partidos!$X$2,Partidos!$G:$G,$B$3,Partidos!$E:$E,$A56)))&amp;"-"&amp;(IF($A56="","",SUMIFS(Partidos!$O:$O,Partidos!$C:$C,Partidos!$X$2,Partidos!$D:$D,$B$3,Partidos!$F:$F,$A56)+SUMIFS(Partidos!$O:$O,Partidos!$C:$C,Partidos!$X$2,Partidos!$D:$D,$B$3,Partidos!$G:$G,$A56)+SUMIFS(Partidos!$O:$O,Partidos!$C:$C,Partidos!$X$2,Partidos!$E:$E,$B$3,Partidos!$F:$F,$A56)+SUMIFS(Partidos!$O:$O,Partidos!$C:$C,Partidos!$X$2,Partidos!$E:$E,$B$3,Partidos!$G:$G,$A56)+SUMIFS(Partidos!$N:$N,Partidos!$C:$C,Partidos!$X$2,Partidos!$F:$F,$B$3,Partidos!$D:$D,$A56)+SUMIFS(Partidos!$N:$N,Partidos!$C:$C,Partidos!$X$2,Partidos!$F:$F,$B$3,Partidos!$E:$E,$A56)+SUMIFS(Partidos!$N:$N,Partidos!$C:$C,Partidos!$X$2,Partidos!$G:$G,$B$3,Partidos!$D:$D,$A56)+SUMIFS(Partidos!$N:$N,Partidos!$C:$C,Partidos!$X$2,Partidos!$G:$G,$B$3,Partidos!$E:$E,$A56))))</f>
        <v/>
      </c>
      <c r="G56" s="10" t="str">
        <f>IF($A56="","",(IF($A56="","",SUMIFS(Partidos!$Q:$Q,Partidos!$C:$C,Partidos!$X$2,Partidos!$D:$D,$B$3,Partidos!$F:$F,$A56)+SUMIFS(Partidos!$Q:$Q,Partidos!$C:$C,Partidos!$X$2,Partidos!$D:$D,$B$3,Partidos!$G:$G,$A56)+SUMIFS(Partidos!$Q:$Q,Partidos!$C:$C,Partidos!$X$2,Partidos!$E:$E,$B$3,Partidos!$F:$F,$A56)+SUMIFS(Partidos!$Q:$Q,Partidos!$C:$C,Partidos!$X$2,Partidos!$E:$E,$B$3,Partidos!$G:$G,$A56)+SUMIFS(Partidos!$R:$R,Partidos!$C:$C,Partidos!$X$2,Partidos!$F:$F,$B$3,Partidos!$D:$D,$A56)+SUMIFS(Partidos!$R:$R,Partidos!$C:$C,Partidos!$X$2,Partidos!$F:$F,$B$3,Partidos!$E:$E,$A56)+SUMIFS(Partidos!$R:$R,Partidos!$C:$C,Partidos!$X$2,Partidos!$G:$G,$B$3,Partidos!$D:$D,$A56)+SUMIFS(Partidos!$R:$R,Partidos!$C:$C,Partidos!$X$2,Partidos!$G:$G,$B$3,Partidos!$E:$E,$A56)))-(IF($A56="","",SUMIFS(Partidos!$R:$R,Partidos!$C:$C,Partidos!$X$2,Partidos!$D:$D,$B$3,Partidos!$F:$F,$A56)+SUMIFS(Partidos!$R:$R,Partidos!$C:$C,Partidos!$X$2,Partidos!$D:$D,$B$3,Partidos!$G:$G,$A56)+SUMIFS(Partidos!$R:$R,Partidos!$C:$C,Partidos!$X$2,Partidos!$E:$E,$B$3,Partidos!$F:$F,$A56)+SUMIFS(Partidos!$R:$R,Partidos!$C:$C,Partidos!$X$2,Partidos!$E:$E,$B$3,Partidos!$G:$G,$A56)+SUMIFS(Partidos!$Q:$Q,Partidos!$C:$C,Partidos!$X$2,Partidos!$F:$F,$B$3,Partidos!$D:$D,$A56)+SUMIFS(Partidos!$Q:$Q,Partidos!$C:$C,Partidos!$X$2,Partidos!$F:$F,$B$3,Partidos!$E:$E,$A56)+SUMIFS(Partidos!$Q:$Q,Partidos!$C:$C,Partidos!$X$2,Partidos!$G:$G,$B$3,Partidos!$D:$D,$A56)+SUMIFS(Partidos!$Q:$Q,Partidos!$C:$C,Partidos!$X$2,Partidos!$G:$G,$B$3,Partidos!$E:$E,$A56))))</f>
        <v/>
      </c>
      <c r="H56" s="2"/>
      <c r="J56" t="str">
        <f t="shared" si="6"/>
        <v/>
      </c>
      <c r="K56" t="str">
        <f t="shared" si="7"/>
        <v/>
      </c>
    </row>
    <row r="57" spans="1:11" x14ac:dyDescent="0.3">
      <c r="A57" s="6" t="str">
        <f>IF(Jugadores!B53="","",IF(Jugadores!B53=$B$3,"",Jugadores!B53))</f>
        <v/>
      </c>
      <c r="B57" s="2" t="str">
        <f>IF($A57="","",COUNTIFS(Partidos!$C:$C,Partidos!$X$2,Partidos!$D:$D,$B$3,Partidos!$F:$F,$A57)+COUNTIFS(Partidos!$C:$C,Partidos!$X$2,Partidos!$D:$D,$B$3,Partidos!$G:$G,$A57)+COUNTIFS(Partidos!$C:$C,Partidos!$X$2,Partidos!$E:$E,$B$3,Partidos!$F:$F,$A57)+COUNTIFS(Partidos!$C:$C,Partidos!$X$2,Partidos!$E:$E,$B$3,Partidos!$G:$G,$A57)+COUNTIFS(Partidos!$C:$C,Partidos!$X$2,Partidos!$F:$F,$B$3,Partidos!$D:$D,$A57)+COUNTIFS(Partidos!$C:$C,Partidos!$X$2,Partidos!$F:$F,$B$3,Partidos!$E:$E,$A57)+COUNTIFS(Partidos!$C:$C,Partidos!$X$2,Partidos!$G:$G,$B$3,Partidos!$D:$D,$A57)+COUNTIFS(Partidos!$C:$C,Partidos!$X$2,Partidos!$G:$G,$B$3,Partidos!$E:$E,$A57))</f>
        <v/>
      </c>
      <c r="C57" s="2" t="str">
        <f>IF($A57="","",COUNTIFS(Partidos!$C:$C,Partidos!$X$2,Partidos!$P:$P,"A",Partidos!$D:$D,$B$3,Partidos!$F:$F,$A57)+COUNTIFS(Partidos!$C:$C,Partidos!$X$2,Partidos!$P:$P,"A",Partidos!$D:$D,$B$3,Partidos!$G:$G,$A57)+COUNTIFS(Partidos!$C:$C,Partidos!$X$2,Partidos!$P:$P,"A",Partidos!$E:$E,$B$3,Partidos!$F:$F,$A57)+COUNTIFS(Partidos!$C:$C,Partidos!$X$2,Partidos!$P:$P,"A",Partidos!$E:$E,$B$3,Partidos!$G:$G,$A57)+COUNTIFS(Partidos!$C:$C,Partidos!$X$2,Partidos!$P:$P,"B",Partidos!$F:$F,$B$3,Partidos!$D:$D,$A57)+COUNTIFS(Partidos!$C:$C,Partidos!$X$2,Partidos!$P:$P,"B",Partidos!$F:$F,$B$3,Partidos!$E:$E,$A57)+COUNTIFS(Partidos!$C:$C,Partidos!$X$2,Partidos!$P:$P,"B",Partidos!$G:$G,$B$3,Partidos!$D:$D,$A57)+COUNTIFS(Partidos!$C:$C,Partidos!$X$2,Partidos!$P:$P,"B",Partidos!$G:$G,$B$3,Partidos!$E:$E,$A57))</f>
        <v/>
      </c>
      <c r="D57" s="2" t="str">
        <f t="shared" si="5"/>
        <v/>
      </c>
      <c r="E57" s="11" t="str">
        <f t="shared" si="3"/>
        <v/>
      </c>
      <c r="F57" s="13" t="str">
        <f>IF($A57="","",(IF($A57="","",SUMIFS(Partidos!$N:$N,Partidos!$C:$C,Partidos!$X$2,Partidos!$D:$D,$B$3,Partidos!$F:$F,$A57)+SUMIFS(Partidos!$N:$N,Partidos!$C:$C,Partidos!$X$2,Partidos!$D:$D,$B$3,Partidos!$G:$G,$A57)+SUMIFS(Partidos!$N:$N,Partidos!$C:$C,Partidos!$X$2,Partidos!$E:$E,$B$3,Partidos!$F:$F,$A57)+SUMIFS(Partidos!$N:$N,Partidos!$C:$C,Partidos!$X$2,Partidos!$E:$E,$B$3,Partidos!$G:$G,$A57)+SUMIFS(Partidos!$O:$O,Partidos!$C:$C,Partidos!$X$2,Partidos!$F:$F,$B$3,Partidos!$D:$D,$A57)+SUMIFS(Partidos!$O:$O,Partidos!$C:$C,Partidos!$X$2,Partidos!$F:$F,$B$3,Partidos!$E:$E,$A57)+SUMIFS(Partidos!$O:$O,Partidos!$C:$C,Partidos!$X$2,Partidos!$G:$G,$B$3,Partidos!$D:$D,$A57)+SUMIFS(Partidos!$O:$O,Partidos!$C:$C,Partidos!$X$2,Partidos!$G:$G,$B$3,Partidos!$E:$E,$A57)))&amp;"-"&amp;(IF($A57="","",SUMIFS(Partidos!$O:$O,Partidos!$C:$C,Partidos!$X$2,Partidos!$D:$D,$B$3,Partidos!$F:$F,$A57)+SUMIFS(Partidos!$O:$O,Partidos!$C:$C,Partidos!$X$2,Partidos!$D:$D,$B$3,Partidos!$G:$G,$A57)+SUMIFS(Partidos!$O:$O,Partidos!$C:$C,Partidos!$X$2,Partidos!$E:$E,$B$3,Partidos!$F:$F,$A57)+SUMIFS(Partidos!$O:$O,Partidos!$C:$C,Partidos!$X$2,Partidos!$E:$E,$B$3,Partidos!$G:$G,$A57)+SUMIFS(Partidos!$N:$N,Partidos!$C:$C,Partidos!$X$2,Partidos!$F:$F,$B$3,Partidos!$D:$D,$A57)+SUMIFS(Partidos!$N:$N,Partidos!$C:$C,Partidos!$X$2,Partidos!$F:$F,$B$3,Partidos!$E:$E,$A57)+SUMIFS(Partidos!$N:$N,Partidos!$C:$C,Partidos!$X$2,Partidos!$G:$G,$B$3,Partidos!$D:$D,$A57)+SUMIFS(Partidos!$N:$N,Partidos!$C:$C,Partidos!$X$2,Partidos!$G:$G,$B$3,Partidos!$E:$E,$A57))))</f>
        <v/>
      </c>
      <c r="G57" s="10" t="str">
        <f>IF($A57="","",(IF($A57="","",SUMIFS(Partidos!$Q:$Q,Partidos!$C:$C,Partidos!$X$2,Partidos!$D:$D,$B$3,Partidos!$F:$F,$A57)+SUMIFS(Partidos!$Q:$Q,Partidos!$C:$C,Partidos!$X$2,Partidos!$D:$D,$B$3,Partidos!$G:$G,$A57)+SUMIFS(Partidos!$Q:$Q,Partidos!$C:$C,Partidos!$X$2,Partidos!$E:$E,$B$3,Partidos!$F:$F,$A57)+SUMIFS(Partidos!$Q:$Q,Partidos!$C:$C,Partidos!$X$2,Partidos!$E:$E,$B$3,Partidos!$G:$G,$A57)+SUMIFS(Partidos!$R:$R,Partidos!$C:$C,Partidos!$X$2,Partidos!$F:$F,$B$3,Partidos!$D:$D,$A57)+SUMIFS(Partidos!$R:$R,Partidos!$C:$C,Partidos!$X$2,Partidos!$F:$F,$B$3,Partidos!$E:$E,$A57)+SUMIFS(Partidos!$R:$R,Partidos!$C:$C,Partidos!$X$2,Partidos!$G:$G,$B$3,Partidos!$D:$D,$A57)+SUMIFS(Partidos!$R:$R,Partidos!$C:$C,Partidos!$X$2,Partidos!$G:$G,$B$3,Partidos!$E:$E,$A57)))-(IF($A57="","",SUMIFS(Partidos!$R:$R,Partidos!$C:$C,Partidos!$X$2,Partidos!$D:$D,$B$3,Partidos!$F:$F,$A57)+SUMIFS(Partidos!$R:$R,Partidos!$C:$C,Partidos!$X$2,Partidos!$D:$D,$B$3,Partidos!$G:$G,$A57)+SUMIFS(Partidos!$R:$R,Partidos!$C:$C,Partidos!$X$2,Partidos!$E:$E,$B$3,Partidos!$F:$F,$A57)+SUMIFS(Partidos!$R:$R,Partidos!$C:$C,Partidos!$X$2,Partidos!$E:$E,$B$3,Partidos!$G:$G,$A57)+SUMIFS(Partidos!$Q:$Q,Partidos!$C:$C,Partidos!$X$2,Partidos!$F:$F,$B$3,Partidos!$D:$D,$A57)+SUMIFS(Partidos!$Q:$Q,Partidos!$C:$C,Partidos!$X$2,Partidos!$F:$F,$B$3,Partidos!$E:$E,$A57)+SUMIFS(Partidos!$Q:$Q,Partidos!$C:$C,Partidos!$X$2,Partidos!$G:$G,$B$3,Partidos!$D:$D,$A57)+SUMIFS(Partidos!$Q:$Q,Partidos!$C:$C,Partidos!$X$2,Partidos!$G:$G,$B$3,Partidos!$E:$E,$A57))))</f>
        <v/>
      </c>
      <c r="H57" s="2"/>
      <c r="J57" t="str">
        <f t="shared" si="6"/>
        <v/>
      </c>
      <c r="K57" t="str">
        <f t="shared" si="7"/>
        <v/>
      </c>
    </row>
    <row r="58" spans="1:11" x14ac:dyDescent="0.3">
      <c r="A58" s="6" t="str">
        <f>IF(Jugadores!B54="","",IF(Jugadores!B54=$B$3,"",Jugadores!B54))</f>
        <v/>
      </c>
      <c r="B58" s="2" t="str">
        <f>IF($A58="","",COUNTIFS(Partidos!$C:$C,Partidos!$X$2,Partidos!$D:$D,$B$3,Partidos!$F:$F,$A58)+COUNTIFS(Partidos!$C:$C,Partidos!$X$2,Partidos!$D:$D,$B$3,Partidos!$G:$G,$A58)+COUNTIFS(Partidos!$C:$C,Partidos!$X$2,Partidos!$E:$E,$B$3,Partidos!$F:$F,$A58)+COUNTIFS(Partidos!$C:$C,Partidos!$X$2,Partidos!$E:$E,$B$3,Partidos!$G:$G,$A58)+COUNTIFS(Partidos!$C:$C,Partidos!$X$2,Partidos!$F:$F,$B$3,Partidos!$D:$D,$A58)+COUNTIFS(Partidos!$C:$C,Partidos!$X$2,Partidos!$F:$F,$B$3,Partidos!$E:$E,$A58)+COUNTIFS(Partidos!$C:$C,Partidos!$X$2,Partidos!$G:$G,$B$3,Partidos!$D:$D,$A58)+COUNTIFS(Partidos!$C:$C,Partidos!$X$2,Partidos!$G:$G,$B$3,Partidos!$E:$E,$A58))</f>
        <v/>
      </c>
      <c r="C58" s="2" t="str">
        <f>IF($A58="","",COUNTIFS(Partidos!$C:$C,Partidos!$X$2,Partidos!$P:$P,"A",Partidos!$D:$D,$B$3,Partidos!$F:$F,$A58)+COUNTIFS(Partidos!$C:$C,Partidos!$X$2,Partidos!$P:$P,"A",Partidos!$D:$D,$B$3,Partidos!$G:$G,$A58)+COUNTIFS(Partidos!$C:$C,Partidos!$X$2,Partidos!$P:$P,"A",Partidos!$E:$E,$B$3,Partidos!$F:$F,$A58)+COUNTIFS(Partidos!$C:$C,Partidos!$X$2,Partidos!$P:$P,"A",Partidos!$E:$E,$B$3,Partidos!$G:$G,$A58)+COUNTIFS(Partidos!$C:$C,Partidos!$X$2,Partidos!$P:$P,"B",Partidos!$F:$F,$B$3,Partidos!$D:$D,$A58)+COUNTIFS(Partidos!$C:$C,Partidos!$X$2,Partidos!$P:$P,"B",Partidos!$F:$F,$B$3,Partidos!$E:$E,$A58)+COUNTIFS(Partidos!$C:$C,Partidos!$X$2,Partidos!$P:$P,"B",Partidos!$G:$G,$B$3,Partidos!$D:$D,$A58)+COUNTIFS(Partidos!$C:$C,Partidos!$X$2,Partidos!$P:$P,"B",Partidos!$G:$G,$B$3,Partidos!$E:$E,$A58))</f>
        <v/>
      </c>
      <c r="D58" s="2" t="str">
        <f t="shared" si="5"/>
        <v/>
      </c>
      <c r="E58" s="11" t="str">
        <f t="shared" si="3"/>
        <v/>
      </c>
      <c r="F58" s="13" t="str">
        <f>IF($A58="","",(IF($A58="","",SUMIFS(Partidos!$N:$N,Partidos!$C:$C,Partidos!$X$2,Partidos!$D:$D,$B$3,Partidos!$F:$F,$A58)+SUMIFS(Partidos!$N:$N,Partidos!$C:$C,Partidos!$X$2,Partidos!$D:$D,$B$3,Partidos!$G:$G,$A58)+SUMIFS(Partidos!$N:$N,Partidos!$C:$C,Partidos!$X$2,Partidos!$E:$E,$B$3,Partidos!$F:$F,$A58)+SUMIFS(Partidos!$N:$N,Partidos!$C:$C,Partidos!$X$2,Partidos!$E:$E,$B$3,Partidos!$G:$G,$A58)+SUMIFS(Partidos!$O:$O,Partidos!$C:$C,Partidos!$X$2,Partidos!$F:$F,$B$3,Partidos!$D:$D,$A58)+SUMIFS(Partidos!$O:$O,Partidos!$C:$C,Partidos!$X$2,Partidos!$F:$F,$B$3,Partidos!$E:$E,$A58)+SUMIFS(Partidos!$O:$O,Partidos!$C:$C,Partidos!$X$2,Partidos!$G:$G,$B$3,Partidos!$D:$D,$A58)+SUMIFS(Partidos!$O:$O,Partidos!$C:$C,Partidos!$X$2,Partidos!$G:$G,$B$3,Partidos!$E:$E,$A58)))&amp;"-"&amp;(IF($A58="","",SUMIFS(Partidos!$O:$O,Partidos!$C:$C,Partidos!$X$2,Partidos!$D:$D,$B$3,Partidos!$F:$F,$A58)+SUMIFS(Partidos!$O:$O,Partidos!$C:$C,Partidos!$X$2,Partidos!$D:$D,$B$3,Partidos!$G:$G,$A58)+SUMIFS(Partidos!$O:$O,Partidos!$C:$C,Partidos!$X$2,Partidos!$E:$E,$B$3,Partidos!$F:$F,$A58)+SUMIFS(Partidos!$O:$O,Partidos!$C:$C,Partidos!$X$2,Partidos!$E:$E,$B$3,Partidos!$G:$G,$A58)+SUMIFS(Partidos!$N:$N,Partidos!$C:$C,Partidos!$X$2,Partidos!$F:$F,$B$3,Partidos!$D:$D,$A58)+SUMIFS(Partidos!$N:$N,Partidos!$C:$C,Partidos!$X$2,Partidos!$F:$F,$B$3,Partidos!$E:$E,$A58)+SUMIFS(Partidos!$N:$N,Partidos!$C:$C,Partidos!$X$2,Partidos!$G:$G,$B$3,Partidos!$D:$D,$A58)+SUMIFS(Partidos!$N:$N,Partidos!$C:$C,Partidos!$X$2,Partidos!$G:$G,$B$3,Partidos!$E:$E,$A58))))</f>
        <v/>
      </c>
      <c r="G58" s="10" t="str">
        <f>IF($A58="","",(IF($A58="","",SUMIFS(Partidos!$Q:$Q,Partidos!$C:$C,Partidos!$X$2,Partidos!$D:$D,$B$3,Partidos!$F:$F,$A58)+SUMIFS(Partidos!$Q:$Q,Partidos!$C:$C,Partidos!$X$2,Partidos!$D:$D,$B$3,Partidos!$G:$G,$A58)+SUMIFS(Partidos!$Q:$Q,Partidos!$C:$C,Partidos!$X$2,Partidos!$E:$E,$B$3,Partidos!$F:$F,$A58)+SUMIFS(Partidos!$Q:$Q,Partidos!$C:$C,Partidos!$X$2,Partidos!$E:$E,$B$3,Partidos!$G:$G,$A58)+SUMIFS(Partidos!$R:$R,Partidos!$C:$C,Partidos!$X$2,Partidos!$F:$F,$B$3,Partidos!$D:$D,$A58)+SUMIFS(Partidos!$R:$R,Partidos!$C:$C,Partidos!$X$2,Partidos!$F:$F,$B$3,Partidos!$E:$E,$A58)+SUMIFS(Partidos!$R:$R,Partidos!$C:$C,Partidos!$X$2,Partidos!$G:$G,$B$3,Partidos!$D:$D,$A58)+SUMIFS(Partidos!$R:$R,Partidos!$C:$C,Partidos!$X$2,Partidos!$G:$G,$B$3,Partidos!$E:$E,$A58)))-(IF($A58="","",SUMIFS(Partidos!$R:$R,Partidos!$C:$C,Partidos!$X$2,Partidos!$D:$D,$B$3,Partidos!$F:$F,$A58)+SUMIFS(Partidos!$R:$R,Partidos!$C:$C,Partidos!$X$2,Partidos!$D:$D,$B$3,Partidos!$G:$G,$A58)+SUMIFS(Partidos!$R:$R,Partidos!$C:$C,Partidos!$X$2,Partidos!$E:$E,$B$3,Partidos!$F:$F,$A58)+SUMIFS(Partidos!$R:$R,Partidos!$C:$C,Partidos!$X$2,Partidos!$E:$E,$B$3,Partidos!$G:$G,$A58)+SUMIFS(Partidos!$Q:$Q,Partidos!$C:$C,Partidos!$X$2,Partidos!$F:$F,$B$3,Partidos!$D:$D,$A58)+SUMIFS(Partidos!$Q:$Q,Partidos!$C:$C,Partidos!$X$2,Partidos!$F:$F,$B$3,Partidos!$E:$E,$A58)+SUMIFS(Partidos!$Q:$Q,Partidos!$C:$C,Partidos!$X$2,Partidos!$G:$G,$B$3,Partidos!$D:$D,$A58)+SUMIFS(Partidos!$Q:$Q,Partidos!$C:$C,Partidos!$X$2,Partidos!$G:$G,$B$3,Partidos!$E:$E,$A58))))</f>
        <v/>
      </c>
      <c r="H58" s="2"/>
      <c r="J58" t="str">
        <f t="shared" si="6"/>
        <v/>
      </c>
      <c r="K58" t="str">
        <f t="shared" si="7"/>
        <v/>
      </c>
    </row>
    <row r="59" spans="1:11" x14ac:dyDescent="0.3">
      <c r="A59" s="6" t="str">
        <f>IF(Jugadores!B55="","",IF(Jugadores!B55=$B$3,"",Jugadores!B55))</f>
        <v/>
      </c>
      <c r="B59" s="2" t="str">
        <f>IF($A59="","",COUNTIFS(Partidos!$C:$C,Partidos!$X$2,Partidos!$D:$D,$B$3,Partidos!$F:$F,$A59)+COUNTIFS(Partidos!$C:$C,Partidos!$X$2,Partidos!$D:$D,$B$3,Partidos!$G:$G,$A59)+COUNTIFS(Partidos!$C:$C,Partidos!$X$2,Partidos!$E:$E,$B$3,Partidos!$F:$F,$A59)+COUNTIFS(Partidos!$C:$C,Partidos!$X$2,Partidos!$E:$E,$B$3,Partidos!$G:$G,$A59)+COUNTIFS(Partidos!$C:$C,Partidos!$X$2,Partidos!$F:$F,$B$3,Partidos!$D:$D,$A59)+COUNTIFS(Partidos!$C:$C,Partidos!$X$2,Partidos!$F:$F,$B$3,Partidos!$E:$E,$A59)+COUNTIFS(Partidos!$C:$C,Partidos!$X$2,Partidos!$G:$G,$B$3,Partidos!$D:$D,$A59)+COUNTIFS(Partidos!$C:$C,Partidos!$X$2,Partidos!$G:$G,$B$3,Partidos!$E:$E,$A59))</f>
        <v/>
      </c>
      <c r="C59" s="2" t="str">
        <f>IF($A59="","",COUNTIFS(Partidos!$C:$C,Partidos!$X$2,Partidos!$P:$P,"A",Partidos!$D:$D,$B$3,Partidos!$F:$F,$A59)+COUNTIFS(Partidos!$C:$C,Partidos!$X$2,Partidos!$P:$P,"A",Partidos!$D:$D,$B$3,Partidos!$G:$G,$A59)+COUNTIFS(Partidos!$C:$C,Partidos!$X$2,Partidos!$P:$P,"A",Partidos!$E:$E,$B$3,Partidos!$F:$F,$A59)+COUNTIFS(Partidos!$C:$C,Partidos!$X$2,Partidos!$P:$P,"A",Partidos!$E:$E,$B$3,Partidos!$G:$G,$A59)+COUNTIFS(Partidos!$C:$C,Partidos!$X$2,Partidos!$P:$P,"B",Partidos!$F:$F,$B$3,Partidos!$D:$D,$A59)+COUNTIFS(Partidos!$C:$C,Partidos!$X$2,Partidos!$P:$P,"B",Partidos!$F:$F,$B$3,Partidos!$E:$E,$A59)+COUNTIFS(Partidos!$C:$C,Partidos!$X$2,Partidos!$P:$P,"B",Partidos!$G:$G,$B$3,Partidos!$D:$D,$A59)+COUNTIFS(Partidos!$C:$C,Partidos!$X$2,Partidos!$P:$P,"B",Partidos!$G:$G,$B$3,Partidos!$E:$E,$A59))</f>
        <v/>
      </c>
      <c r="D59" s="2" t="str">
        <f t="shared" si="5"/>
        <v/>
      </c>
      <c r="E59" s="11" t="str">
        <f t="shared" si="3"/>
        <v/>
      </c>
      <c r="F59" s="13" t="str">
        <f>IF($A59="","",(IF($A59="","",SUMIFS(Partidos!$N:$N,Partidos!$C:$C,Partidos!$X$2,Partidos!$D:$D,$B$3,Partidos!$F:$F,$A59)+SUMIFS(Partidos!$N:$N,Partidos!$C:$C,Partidos!$X$2,Partidos!$D:$D,$B$3,Partidos!$G:$G,$A59)+SUMIFS(Partidos!$N:$N,Partidos!$C:$C,Partidos!$X$2,Partidos!$E:$E,$B$3,Partidos!$F:$F,$A59)+SUMIFS(Partidos!$N:$N,Partidos!$C:$C,Partidos!$X$2,Partidos!$E:$E,$B$3,Partidos!$G:$G,$A59)+SUMIFS(Partidos!$O:$O,Partidos!$C:$C,Partidos!$X$2,Partidos!$F:$F,$B$3,Partidos!$D:$D,$A59)+SUMIFS(Partidos!$O:$O,Partidos!$C:$C,Partidos!$X$2,Partidos!$F:$F,$B$3,Partidos!$E:$E,$A59)+SUMIFS(Partidos!$O:$O,Partidos!$C:$C,Partidos!$X$2,Partidos!$G:$G,$B$3,Partidos!$D:$D,$A59)+SUMIFS(Partidos!$O:$O,Partidos!$C:$C,Partidos!$X$2,Partidos!$G:$G,$B$3,Partidos!$E:$E,$A59)))&amp;"-"&amp;(IF($A59="","",SUMIFS(Partidos!$O:$O,Partidos!$C:$C,Partidos!$X$2,Partidos!$D:$D,$B$3,Partidos!$F:$F,$A59)+SUMIFS(Partidos!$O:$O,Partidos!$C:$C,Partidos!$X$2,Partidos!$D:$D,$B$3,Partidos!$G:$G,$A59)+SUMIFS(Partidos!$O:$O,Partidos!$C:$C,Partidos!$X$2,Partidos!$E:$E,$B$3,Partidos!$F:$F,$A59)+SUMIFS(Partidos!$O:$O,Partidos!$C:$C,Partidos!$X$2,Partidos!$E:$E,$B$3,Partidos!$G:$G,$A59)+SUMIFS(Partidos!$N:$N,Partidos!$C:$C,Partidos!$X$2,Partidos!$F:$F,$B$3,Partidos!$D:$D,$A59)+SUMIFS(Partidos!$N:$N,Partidos!$C:$C,Partidos!$X$2,Partidos!$F:$F,$B$3,Partidos!$E:$E,$A59)+SUMIFS(Partidos!$N:$N,Partidos!$C:$C,Partidos!$X$2,Partidos!$G:$G,$B$3,Partidos!$D:$D,$A59)+SUMIFS(Partidos!$N:$N,Partidos!$C:$C,Partidos!$X$2,Partidos!$G:$G,$B$3,Partidos!$E:$E,$A59))))</f>
        <v/>
      </c>
      <c r="G59" s="10" t="str">
        <f>IF($A59="","",(IF($A59="","",SUMIFS(Partidos!$Q:$Q,Partidos!$C:$C,Partidos!$X$2,Partidos!$D:$D,$B$3,Partidos!$F:$F,$A59)+SUMIFS(Partidos!$Q:$Q,Partidos!$C:$C,Partidos!$X$2,Partidos!$D:$D,$B$3,Partidos!$G:$G,$A59)+SUMIFS(Partidos!$Q:$Q,Partidos!$C:$C,Partidos!$X$2,Partidos!$E:$E,$B$3,Partidos!$F:$F,$A59)+SUMIFS(Partidos!$Q:$Q,Partidos!$C:$C,Partidos!$X$2,Partidos!$E:$E,$B$3,Partidos!$G:$G,$A59)+SUMIFS(Partidos!$R:$R,Partidos!$C:$C,Partidos!$X$2,Partidos!$F:$F,$B$3,Partidos!$D:$D,$A59)+SUMIFS(Partidos!$R:$R,Partidos!$C:$C,Partidos!$X$2,Partidos!$F:$F,$B$3,Partidos!$E:$E,$A59)+SUMIFS(Partidos!$R:$R,Partidos!$C:$C,Partidos!$X$2,Partidos!$G:$G,$B$3,Partidos!$D:$D,$A59)+SUMIFS(Partidos!$R:$R,Partidos!$C:$C,Partidos!$X$2,Partidos!$G:$G,$B$3,Partidos!$E:$E,$A59)))-(IF($A59="","",SUMIFS(Partidos!$R:$R,Partidos!$C:$C,Partidos!$X$2,Partidos!$D:$D,$B$3,Partidos!$F:$F,$A59)+SUMIFS(Partidos!$R:$R,Partidos!$C:$C,Partidos!$X$2,Partidos!$D:$D,$B$3,Partidos!$G:$G,$A59)+SUMIFS(Partidos!$R:$R,Partidos!$C:$C,Partidos!$X$2,Partidos!$E:$E,$B$3,Partidos!$F:$F,$A59)+SUMIFS(Partidos!$R:$R,Partidos!$C:$C,Partidos!$X$2,Partidos!$E:$E,$B$3,Partidos!$G:$G,$A59)+SUMIFS(Partidos!$Q:$Q,Partidos!$C:$C,Partidos!$X$2,Partidos!$F:$F,$B$3,Partidos!$D:$D,$A59)+SUMIFS(Partidos!$Q:$Q,Partidos!$C:$C,Partidos!$X$2,Partidos!$F:$F,$B$3,Partidos!$E:$E,$A59)+SUMIFS(Partidos!$Q:$Q,Partidos!$C:$C,Partidos!$X$2,Partidos!$G:$G,$B$3,Partidos!$D:$D,$A59)+SUMIFS(Partidos!$Q:$Q,Partidos!$C:$C,Partidos!$X$2,Partidos!$G:$G,$B$3,Partidos!$E:$E,$A59))))</f>
        <v/>
      </c>
      <c r="H59" s="2"/>
      <c r="J59" t="str">
        <f t="shared" si="6"/>
        <v/>
      </c>
      <c r="K59" t="str">
        <f t="shared" si="7"/>
        <v/>
      </c>
    </row>
    <row r="60" spans="1:11" x14ac:dyDescent="0.3">
      <c r="A60" s="6" t="str">
        <f>IF(Jugadores!B56="","",IF(Jugadores!B56=$B$3,"",Jugadores!B56))</f>
        <v/>
      </c>
      <c r="B60" s="2" t="str">
        <f>IF($A60="","",COUNTIFS(Partidos!$C:$C,Partidos!$X$2,Partidos!$D:$D,$B$3,Partidos!$F:$F,$A60)+COUNTIFS(Partidos!$C:$C,Partidos!$X$2,Partidos!$D:$D,$B$3,Partidos!$G:$G,$A60)+COUNTIFS(Partidos!$C:$C,Partidos!$X$2,Partidos!$E:$E,$B$3,Partidos!$F:$F,$A60)+COUNTIFS(Partidos!$C:$C,Partidos!$X$2,Partidos!$E:$E,$B$3,Partidos!$G:$G,$A60)+COUNTIFS(Partidos!$C:$C,Partidos!$X$2,Partidos!$F:$F,$B$3,Partidos!$D:$D,$A60)+COUNTIFS(Partidos!$C:$C,Partidos!$X$2,Partidos!$F:$F,$B$3,Partidos!$E:$E,$A60)+COUNTIFS(Partidos!$C:$C,Partidos!$X$2,Partidos!$G:$G,$B$3,Partidos!$D:$D,$A60)+COUNTIFS(Partidos!$C:$C,Partidos!$X$2,Partidos!$G:$G,$B$3,Partidos!$E:$E,$A60))</f>
        <v/>
      </c>
      <c r="C60" s="2" t="str">
        <f>IF($A60="","",COUNTIFS(Partidos!$C:$C,Partidos!$X$2,Partidos!$P:$P,"A",Partidos!$D:$D,$B$3,Partidos!$F:$F,$A60)+COUNTIFS(Partidos!$C:$C,Partidos!$X$2,Partidos!$P:$P,"A",Partidos!$D:$D,$B$3,Partidos!$G:$G,$A60)+COUNTIFS(Partidos!$C:$C,Partidos!$X$2,Partidos!$P:$P,"A",Partidos!$E:$E,$B$3,Partidos!$F:$F,$A60)+COUNTIFS(Partidos!$C:$C,Partidos!$X$2,Partidos!$P:$P,"A",Partidos!$E:$E,$B$3,Partidos!$G:$G,$A60)+COUNTIFS(Partidos!$C:$C,Partidos!$X$2,Partidos!$P:$P,"B",Partidos!$F:$F,$B$3,Partidos!$D:$D,$A60)+COUNTIFS(Partidos!$C:$C,Partidos!$X$2,Partidos!$P:$P,"B",Partidos!$F:$F,$B$3,Partidos!$E:$E,$A60)+COUNTIFS(Partidos!$C:$C,Partidos!$X$2,Partidos!$P:$P,"B",Partidos!$G:$G,$B$3,Partidos!$D:$D,$A60)+COUNTIFS(Partidos!$C:$C,Partidos!$X$2,Partidos!$P:$P,"B",Partidos!$G:$G,$B$3,Partidos!$E:$E,$A60))</f>
        <v/>
      </c>
      <c r="D60" s="2" t="str">
        <f t="shared" si="5"/>
        <v/>
      </c>
      <c r="E60" s="11" t="str">
        <f t="shared" si="3"/>
        <v/>
      </c>
      <c r="F60" s="13" t="str">
        <f>IF($A60="","",(IF($A60="","",SUMIFS(Partidos!$N:$N,Partidos!$C:$C,Partidos!$X$2,Partidos!$D:$D,$B$3,Partidos!$F:$F,$A60)+SUMIFS(Partidos!$N:$N,Partidos!$C:$C,Partidos!$X$2,Partidos!$D:$D,$B$3,Partidos!$G:$G,$A60)+SUMIFS(Partidos!$N:$N,Partidos!$C:$C,Partidos!$X$2,Partidos!$E:$E,$B$3,Partidos!$F:$F,$A60)+SUMIFS(Partidos!$N:$N,Partidos!$C:$C,Partidos!$X$2,Partidos!$E:$E,$B$3,Partidos!$G:$G,$A60)+SUMIFS(Partidos!$O:$O,Partidos!$C:$C,Partidos!$X$2,Partidos!$F:$F,$B$3,Partidos!$D:$D,$A60)+SUMIFS(Partidos!$O:$O,Partidos!$C:$C,Partidos!$X$2,Partidos!$F:$F,$B$3,Partidos!$E:$E,$A60)+SUMIFS(Partidos!$O:$O,Partidos!$C:$C,Partidos!$X$2,Partidos!$G:$G,$B$3,Partidos!$D:$D,$A60)+SUMIFS(Partidos!$O:$O,Partidos!$C:$C,Partidos!$X$2,Partidos!$G:$G,$B$3,Partidos!$E:$E,$A60)))&amp;"-"&amp;(IF($A60="","",SUMIFS(Partidos!$O:$O,Partidos!$C:$C,Partidos!$X$2,Partidos!$D:$D,$B$3,Partidos!$F:$F,$A60)+SUMIFS(Partidos!$O:$O,Partidos!$C:$C,Partidos!$X$2,Partidos!$D:$D,$B$3,Partidos!$G:$G,$A60)+SUMIFS(Partidos!$O:$O,Partidos!$C:$C,Partidos!$X$2,Partidos!$E:$E,$B$3,Partidos!$F:$F,$A60)+SUMIFS(Partidos!$O:$O,Partidos!$C:$C,Partidos!$X$2,Partidos!$E:$E,$B$3,Partidos!$G:$G,$A60)+SUMIFS(Partidos!$N:$N,Partidos!$C:$C,Partidos!$X$2,Partidos!$F:$F,$B$3,Partidos!$D:$D,$A60)+SUMIFS(Partidos!$N:$N,Partidos!$C:$C,Partidos!$X$2,Partidos!$F:$F,$B$3,Partidos!$E:$E,$A60)+SUMIFS(Partidos!$N:$N,Partidos!$C:$C,Partidos!$X$2,Partidos!$G:$G,$B$3,Partidos!$D:$D,$A60)+SUMIFS(Partidos!$N:$N,Partidos!$C:$C,Partidos!$X$2,Partidos!$G:$G,$B$3,Partidos!$E:$E,$A60))))</f>
        <v/>
      </c>
      <c r="G60" s="10" t="str">
        <f>IF($A60="","",(IF($A60="","",SUMIFS(Partidos!$Q:$Q,Partidos!$C:$C,Partidos!$X$2,Partidos!$D:$D,$B$3,Partidos!$F:$F,$A60)+SUMIFS(Partidos!$Q:$Q,Partidos!$C:$C,Partidos!$X$2,Partidos!$D:$D,$B$3,Partidos!$G:$G,$A60)+SUMIFS(Partidos!$Q:$Q,Partidos!$C:$C,Partidos!$X$2,Partidos!$E:$E,$B$3,Partidos!$F:$F,$A60)+SUMIFS(Partidos!$Q:$Q,Partidos!$C:$C,Partidos!$X$2,Partidos!$E:$E,$B$3,Partidos!$G:$G,$A60)+SUMIFS(Partidos!$R:$R,Partidos!$C:$C,Partidos!$X$2,Partidos!$F:$F,$B$3,Partidos!$D:$D,$A60)+SUMIFS(Partidos!$R:$R,Partidos!$C:$C,Partidos!$X$2,Partidos!$F:$F,$B$3,Partidos!$E:$E,$A60)+SUMIFS(Partidos!$R:$R,Partidos!$C:$C,Partidos!$X$2,Partidos!$G:$G,$B$3,Partidos!$D:$D,$A60)+SUMIFS(Partidos!$R:$R,Partidos!$C:$C,Partidos!$X$2,Partidos!$G:$G,$B$3,Partidos!$E:$E,$A60)))-(IF($A60="","",SUMIFS(Partidos!$R:$R,Partidos!$C:$C,Partidos!$X$2,Partidos!$D:$D,$B$3,Partidos!$F:$F,$A60)+SUMIFS(Partidos!$R:$R,Partidos!$C:$C,Partidos!$X$2,Partidos!$D:$D,$B$3,Partidos!$G:$G,$A60)+SUMIFS(Partidos!$R:$R,Partidos!$C:$C,Partidos!$X$2,Partidos!$E:$E,$B$3,Partidos!$F:$F,$A60)+SUMIFS(Partidos!$R:$R,Partidos!$C:$C,Partidos!$X$2,Partidos!$E:$E,$B$3,Partidos!$G:$G,$A60)+SUMIFS(Partidos!$Q:$Q,Partidos!$C:$C,Partidos!$X$2,Partidos!$F:$F,$B$3,Partidos!$D:$D,$A60)+SUMIFS(Partidos!$Q:$Q,Partidos!$C:$C,Partidos!$X$2,Partidos!$F:$F,$B$3,Partidos!$E:$E,$A60)+SUMIFS(Partidos!$Q:$Q,Partidos!$C:$C,Partidos!$X$2,Partidos!$G:$G,$B$3,Partidos!$D:$D,$A60)+SUMIFS(Partidos!$Q:$Q,Partidos!$C:$C,Partidos!$X$2,Partidos!$G:$G,$B$3,Partidos!$E:$E,$A60))))</f>
        <v/>
      </c>
      <c r="H60" s="2"/>
      <c r="J60" t="str">
        <f t="shared" si="6"/>
        <v/>
      </c>
      <c r="K60" t="str">
        <f t="shared" si="7"/>
        <v/>
      </c>
    </row>
    <row r="61" spans="1:11" x14ac:dyDescent="0.3">
      <c r="A61" s="6" t="str">
        <f>IF(Jugadores!B57="","",IF(Jugadores!B57=$B$3,"",Jugadores!B57))</f>
        <v/>
      </c>
      <c r="B61" s="2" t="str">
        <f>IF($A61="","",COUNTIFS(Partidos!$C:$C,Partidos!$X$2,Partidos!$D:$D,$B$3,Partidos!$F:$F,$A61)+COUNTIFS(Partidos!$C:$C,Partidos!$X$2,Partidos!$D:$D,$B$3,Partidos!$G:$G,$A61)+COUNTIFS(Partidos!$C:$C,Partidos!$X$2,Partidos!$E:$E,$B$3,Partidos!$F:$F,$A61)+COUNTIFS(Partidos!$C:$C,Partidos!$X$2,Partidos!$E:$E,$B$3,Partidos!$G:$G,$A61)+COUNTIFS(Partidos!$C:$C,Partidos!$X$2,Partidos!$F:$F,$B$3,Partidos!$D:$D,$A61)+COUNTIFS(Partidos!$C:$C,Partidos!$X$2,Partidos!$F:$F,$B$3,Partidos!$E:$E,$A61)+COUNTIFS(Partidos!$C:$C,Partidos!$X$2,Partidos!$G:$G,$B$3,Partidos!$D:$D,$A61)+COUNTIFS(Partidos!$C:$C,Partidos!$X$2,Partidos!$G:$G,$B$3,Partidos!$E:$E,$A61))</f>
        <v/>
      </c>
      <c r="C61" s="2" t="str">
        <f>IF($A61="","",COUNTIFS(Partidos!$C:$C,Partidos!$X$2,Partidos!$P:$P,"A",Partidos!$D:$D,$B$3,Partidos!$F:$F,$A61)+COUNTIFS(Partidos!$C:$C,Partidos!$X$2,Partidos!$P:$P,"A",Partidos!$D:$D,$B$3,Partidos!$G:$G,$A61)+COUNTIFS(Partidos!$C:$C,Partidos!$X$2,Partidos!$P:$P,"A",Partidos!$E:$E,$B$3,Partidos!$F:$F,$A61)+COUNTIFS(Partidos!$C:$C,Partidos!$X$2,Partidos!$P:$P,"A",Partidos!$E:$E,$B$3,Partidos!$G:$G,$A61)+COUNTIFS(Partidos!$C:$C,Partidos!$X$2,Partidos!$P:$P,"B",Partidos!$F:$F,$B$3,Partidos!$D:$D,$A61)+COUNTIFS(Partidos!$C:$C,Partidos!$X$2,Partidos!$P:$P,"B",Partidos!$F:$F,$B$3,Partidos!$E:$E,$A61)+COUNTIFS(Partidos!$C:$C,Partidos!$X$2,Partidos!$P:$P,"B",Partidos!$G:$G,$B$3,Partidos!$D:$D,$A61)+COUNTIFS(Partidos!$C:$C,Partidos!$X$2,Partidos!$P:$P,"B",Partidos!$G:$G,$B$3,Partidos!$E:$E,$A61))</f>
        <v/>
      </c>
      <c r="D61" s="2" t="str">
        <f t="shared" si="5"/>
        <v/>
      </c>
      <c r="E61" s="11" t="str">
        <f t="shared" si="3"/>
        <v/>
      </c>
      <c r="F61" s="13" t="str">
        <f>IF($A61="","",(IF($A61="","",SUMIFS(Partidos!$N:$N,Partidos!$C:$C,Partidos!$X$2,Partidos!$D:$D,$B$3,Partidos!$F:$F,$A61)+SUMIFS(Partidos!$N:$N,Partidos!$C:$C,Partidos!$X$2,Partidos!$D:$D,$B$3,Partidos!$G:$G,$A61)+SUMIFS(Partidos!$N:$N,Partidos!$C:$C,Partidos!$X$2,Partidos!$E:$E,$B$3,Partidos!$F:$F,$A61)+SUMIFS(Partidos!$N:$N,Partidos!$C:$C,Partidos!$X$2,Partidos!$E:$E,$B$3,Partidos!$G:$G,$A61)+SUMIFS(Partidos!$O:$O,Partidos!$C:$C,Partidos!$X$2,Partidos!$F:$F,$B$3,Partidos!$D:$D,$A61)+SUMIFS(Partidos!$O:$O,Partidos!$C:$C,Partidos!$X$2,Partidos!$F:$F,$B$3,Partidos!$E:$E,$A61)+SUMIFS(Partidos!$O:$O,Partidos!$C:$C,Partidos!$X$2,Partidos!$G:$G,$B$3,Partidos!$D:$D,$A61)+SUMIFS(Partidos!$O:$O,Partidos!$C:$C,Partidos!$X$2,Partidos!$G:$G,$B$3,Partidos!$E:$E,$A61)))&amp;"-"&amp;(IF($A61="","",SUMIFS(Partidos!$O:$O,Partidos!$C:$C,Partidos!$X$2,Partidos!$D:$D,$B$3,Partidos!$F:$F,$A61)+SUMIFS(Partidos!$O:$O,Partidos!$C:$C,Partidos!$X$2,Partidos!$D:$D,$B$3,Partidos!$G:$G,$A61)+SUMIFS(Partidos!$O:$O,Partidos!$C:$C,Partidos!$X$2,Partidos!$E:$E,$B$3,Partidos!$F:$F,$A61)+SUMIFS(Partidos!$O:$O,Partidos!$C:$C,Partidos!$X$2,Partidos!$E:$E,$B$3,Partidos!$G:$G,$A61)+SUMIFS(Partidos!$N:$N,Partidos!$C:$C,Partidos!$X$2,Partidos!$F:$F,$B$3,Partidos!$D:$D,$A61)+SUMIFS(Partidos!$N:$N,Partidos!$C:$C,Partidos!$X$2,Partidos!$F:$F,$B$3,Partidos!$E:$E,$A61)+SUMIFS(Partidos!$N:$N,Partidos!$C:$C,Partidos!$X$2,Partidos!$G:$G,$B$3,Partidos!$D:$D,$A61)+SUMIFS(Partidos!$N:$N,Partidos!$C:$C,Partidos!$X$2,Partidos!$G:$G,$B$3,Partidos!$E:$E,$A61))))</f>
        <v/>
      </c>
      <c r="G61" s="10" t="str">
        <f>IF($A61="","",(IF($A61="","",SUMIFS(Partidos!$Q:$Q,Partidos!$C:$C,Partidos!$X$2,Partidos!$D:$D,$B$3,Partidos!$F:$F,$A61)+SUMIFS(Partidos!$Q:$Q,Partidos!$C:$C,Partidos!$X$2,Partidos!$D:$D,$B$3,Partidos!$G:$G,$A61)+SUMIFS(Partidos!$Q:$Q,Partidos!$C:$C,Partidos!$X$2,Partidos!$E:$E,$B$3,Partidos!$F:$F,$A61)+SUMIFS(Partidos!$Q:$Q,Partidos!$C:$C,Partidos!$X$2,Partidos!$E:$E,$B$3,Partidos!$G:$G,$A61)+SUMIFS(Partidos!$R:$R,Partidos!$C:$C,Partidos!$X$2,Partidos!$F:$F,$B$3,Partidos!$D:$D,$A61)+SUMIFS(Partidos!$R:$R,Partidos!$C:$C,Partidos!$X$2,Partidos!$F:$F,$B$3,Partidos!$E:$E,$A61)+SUMIFS(Partidos!$R:$R,Partidos!$C:$C,Partidos!$X$2,Partidos!$G:$G,$B$3,Partidos!$D:$D,$A61)+SUMIFS(Partidos!$R:$R,Partidos!$C:$C,Partidos!$X$2,Partidos!$G:$G,$B$3,Partidos!$E:$E,$A61)))-(IF($A61="","",SUMIFS(Partidos!$R:$R,Partidos!$C:$C,Partidos!$X$2,Partidos!$D:$D,$B$3,Partidos!$F:$F,$A61)+SUMIFS(Partidos!$R:$R,Partidos!$C:$C,Partidos!$X$2,Partidos!$D:$D,$B$3,Partidos!$G:$G,$A61)+SUMIFS(Partidos!$R:$R,Partidos!$C:$C,Partidos!$X$2,Partidos!$E:$E,$B$3,Partidos!$F:$F,$A61)+SUMIFS(Partidos!$R:$R,Partidos!$C:$C,Partidos!$X$2,Partidos!$E:$E,$B$3,Partidos!$G:$G,$A61)+SUMIFS(Partidos!$Q:$Q,Partidos!$C:$C,Partidos!$X$2,Partidos!$F:$F,$B$3,Partidos!$D:$D,$A61)+SUMIFS(Partidos!$Q:$Q,Partidos!$C:$C,Partidos!$X$2,Partidos!$F:$F,$B$3,Partidos!$E:$E,$A61)+SUMIFS(Partidos!$Q:$Q,Partidos!$C:$C,Partidos!$X$2,Partidos!$G:$G,$B$3,Partidos!$D:$D,$A61)+SUMIFS(Partidos!$Q:$Q,Partidos!$C:$C,Partidos!$X$2,Partidos!$G:$G,$B$3,Partidos!$E:$E,$A61))))</f>
        <v/>
      </c>
      <c r="H61" s="2"/>
      <c r="J61" t="str">
        <f t="shared" si="6"/>
        <v/>
      </c>
      <c r="K61" t="str">
        <f t="shared" si="7"/>
        <v/>
      </c>
    </row>
    <row r="62" spans="1:11" x14ac:dyDescent="0.3">
      <c r="A62" s="6" t="str">
        <f>IF(Jugadores!B58="","",IF(Jugadores!B58=$B$3,"",Jugadores!B58))</f>
        <v/>
      </c>
      <c r="B62" s="2" t="str">
        <f>IF($A62="","",COUNTIFS(Partidos!$C:$C,Partidos!$X$2,Partidos!$D:$D,$B$3,Partidos!$F:$F,$A62)+COUNTIFS(Partidos!$C:$C,Partidos!$X$2,Partidos!$D:$D,$B$3,Partidos!$G:$G,$A62)+COUNTIFS(Partidos!$C:$C,Partidos!$X$2,Partidos!$E:$E,$B$3,Partidos!$F:$F,$A62)+COUNTIFS(Partidos!$C:$C,Partidos!$X$2,Partidos!$E:$E,$B$3,Partidos!$G:$G,$A62)+COUNTIFS(Partidos!$C:$C,Partidos!$X$2,Partidos!$F:$F,$B$3,Partidos!$D:$D,$A62)+COUNTIFS(Partidos!$C:$C,Partidos!$X$2,Partidos!$F:$F,$B$3,Partidos!$E:$E,$A62)+COUNTIFS(Partidos!$C:$C,Partidos!$X$2,Partidos!$G:$G,$B$3,Partidos!$D:$D,$A62)+COUNTIFS(Partidos!$C:$C,Partidos!$X$2,Partidos!$G:$G,$B$3,Partidos!$E:$E,$A62))</f>
        <v/>
      </c>
      <c r="C62" s="2" t="str">
        <f>IF($A62="","",COUNTIFS(Partidos!$C:$C,Partidos!$X$2,Partidos!$P:$P,"A",Partidos!$D:$D,$B$3,Partidos!$F:$F,$A62)+COUNTIFS(Partidos!$C:$C,Partidos!$X$2,Partidos!$P:$P,"A",Partidos!$D:$D,$B$3,Partidos!$G:$G,$A62)+COUNTIFS(Partidos!$C:$C,Partidos!$X$2,Partidos!$P:$P,"A",Partidos!$E:$E,$B$3,Partidos!$F:$F,$A62)+COUNTIFS(Partidos!$C:$C,Partidos!$X$2,Partidos!$P:$P,"A",Partidos!$E:$E,$B$3,Partidos!$G:$G,$A62)+COUNTIFS(Partidos!$C:$C,Partidos!$X$2,Partidos!$P:$P,"B",Partidos!$F:$F,$B$3,Partidos!$D:$D,$A62)+COUNTIFS(Partidos!$C:$C,Partidos!$X$2,Partidos!$P:$P,"B",Partidos!$F:$F,$B$3,Partidos!$E:$E,$A62)+COUNTIFS(Partidos!$C:$C,Partidos!$X$2,Partidos!$P:$P,"B",Partidos!$G:$G,$B$3,Partidos!$D:$D,$A62)+COUNTIFS(Partidos!$C:$C,Partidos!$X$2,Partidos!$P:$P,"B",Partidos!$G:$G,$B$3,Partidos!$E:$E,$A62))</f>
        <v/>
      </c>
      <c r="D62" s="2" t="str">
        <f t="shared" si="5"/>
        <v/>
      </c>
      <c r="E62" s="11" t="str">
        <f t="shared" si="3"/>
        <v/>
      </c>
      <c r="F62" s="13" t="str">
        <f>IF($A62="","",(IF($A62="","",SUMIFS(Partidos!$N:$N,Partidos!$C:$C,Partidos!$X$2,Partidos!$D:$D,$B$3,Partidos!$F:$F,$A62)+SUMIFS(Partidos!$N:$N,Partidos!$C:$C,Partidos!$X$2,Partidos!$D:$D,$B$3,Partidos!$G:$G,$A62)+SUMIFS(Partidos!$N:$N,Partidos!$C:$C,Partidos!$X$2,Partidos!$E:$E,$B$3,Partidos!$F:$F,$A62)+SUMIFS(Partidos!$N:$N,Partidos!$C:$C,Partidos!$X$2,Partidos!$E:$E,$B$3,Partidos!$G:$G,$A62)+SUMIFS(Partidos!$O:$O,Partidos!$C:$C,Partidos!$X$2,Partidos!$F:$F,$B$3,Partidos!$D:$D,$A62)+SUMIFS(Partidos!$O:$O,Partidos!$C:$C,Partidos!$X$2,Partidos!$F:$F,$B$3,Partidos!$E:$E,$A62)+SUMIFS(Partidos!$O:$O,Partidos!$C:$C,Partidos!$X$2,Partidos!$G:$G,$B$3,Partidos!$D:$D,$A62)+SUMIFS(Partidos!$O:$O,Partidos!$C:$C,Partidos!$X$2,Partidos!$G:$G,$B$3,Partidos!$E:$E,$A62)))&amp;"-"&amp;(IF($A62="","",SUMIFS(Partidos!$O:$O,Partidos!$C:$C,Partidos!$X$2,Partidos!$D:$D,$B$3,Partidos!$F:$F,$A62)+SUMIFS(Partidos!$O:$O,Partidos!$C:$C,Partidos!$X$2,Partidos!$D:$D,$B$3,Partidos!$G:$G,$A62)+SUMIFS(Partidos!$O:$O,Partidos!$C:$C,Partidos!$X$2,Partidos!$E:$E,$B$3,Partidos!$F:$F,$A62)+SUMIFS(Partidos!$O:$O,Partidos!$C:$C,Partidos!$X$2,Partidos!$E:$E,$B$3,Partidos!$G:$G,$A62)+SUMIFS(Partidos!$N:$N,Partidos!$C:$C,Partidos!$X$2,Partidos!$F:$F,$B$3,Partidos!$D:$D,$A62)+SUMIFS(Partidos!$N:$N,Partidos!$C:$C,Partidos!$X$2,Partidos!$F:$F,$B$3,Partidos!$E:$E,$A62)+SUMIFS(Partidos!$N:$N,Partidos!$C:$C,Partidos!$X$2,Partidos!$G:$G,$B$3,Partidos!$D:$D,$A62)+SUMIFS(Partidos!$N:$N,Partidos!$C:$C,Partidos!$X$2,Partidos!$G:$G,$B$3,Partidos!$E:$E,$A62))))</f>
        <v/>
      </c>
      <c r="G62" s="10" t="str">
        <f>IF($A62="","",(IF($A62="","",SUMIFS(Partidos!$Q:$Q,Partidos!$C:$C,Partidos!$X$2,Partidos!$D:$D,$B$3,Partidos!$F:$F,$A62)+SUMIFS(Partidos!$Q:$Q,Partidos!$C:$C,Partidos!$X$2,Partidos!$D:$D,$B$3,Partidos!$G:$G,$A62)+SUMIFS(Partidos!$Q:$Q,Partidos!$C:$C,Partidos!$X$2,Partidos!$E:$E,$B$3,Partidos!$F:$F,$A62)+SUMIFS(Partidos!$Q:$Q,Partidos!$C:$C,Partidos!$X$2,Partidos!$E:$E,$B$3,Partidos!$G:$G,$A62)+SUMIFS(Partidos!$R:$R,Partidos!$C:$C,Partidos!$X$2,Partidos!$F:$F,$B$3,Partidos!$D:$D,$A62)+SUMIFS(Partidos!$R:$R,Partidos!$C:$C,Partidos!$X$2,Partidos!$F:$F,$B$3,Partidos!$E:$E,$A62)+SUMIFS(Partidos!$R:$R,Partidos!$C:$C,Partidos!$X$2,Partidos!$G:$G,$B$3,Partidos!$D:$D,$A62)+SUMIFS(Partidos!$R:$R,Partidos!$C:$C,Partidos!$X$2,Partidos!$G:$G,$B$3,Partidos!$E:$E,$A62)))-(IF($A62="","",SUMIFS(Partidos!$R:$R,Partidos!$C:$C,Partidos!$X$2,Partidos!$D:$D,$B$3,Partidos!$F:$F,$A62)+SUMIFS(Partidos!$R:$R,Partidos!$C:$C,Partidos!$X$2,Partidos!$D:$D,$B$3,Partidos!$G:$G,$A62)+SUMIFS(Partidos!$R:$R,Partidos!$C:$C,Partidos!$X$2,Partidos!$E:$E,$B$3,Partidos!$F:$F,$A62)+SUMIFS(Partidos!$R:$R,Partidos!$C:$C,Partidos!$X$2,Partidos!$E:$E,$B$3,Partidos!$G:$G,$A62)+SUMIFS(Partidos!$Q:$Q,Partidos!$C:$C,Partidos!$X$2,Partidos!$F:$F,$B$3,Partidos!$D:$D,$A62)+SUMIFS(Partidos!$Q:$Q,Partidos!$C:$C,Partidos!$X$2,Partidos!$F:$F,$B$3,Partidos!$E:$E,$A62)+SUMIFS(Partidos!$Q:$Q,Partidos!$C:$C,Partidos!$X$2,Partidos!$G:$G,$B$3,Partidos!$D:$D,$A62)+SUMIFS(Partidos!$Q:$Q,Partidos!$C:$C,Partidos!$X$2,Partidos!$G:$G,$B$3,Partidos!$E:$E,$A62))))</f>
        <v/>
      </c>
      <c r="H62" s="2"/>
      <c r="J62" t="str">
        <f t="shared" si="6"/>
        <v/>
      </c>
      <c r="K62" t="str">
        <f t="shared" si="7"/>
        <v/>
      </c>
    </row>
    <row r="63" spans="1:11" x14ac:dyDescent="0.3">
      <c r="A63" s="6" t="str">
        <f>IF(Jugadores!B59="","",IF(Jugadores!B59=$B$3,"",Jugadores!B59))</f>
        <v/>
      </c>
      <c r="B63" s="2" t="str">
        <f>IF($A63="","",COUNTIFS(Partidos!$C:$C,Partidos!$X$2,Partidos!$D:$D,$B$3,Partidos!$F:$F,$A63)+COUNTIFS(Partidos!$C:$C,Partidos!$X$2,Partidos!$D:$D,$B$3,Partidos!$G:$G,$A63)+COUNTIFS(Partidos!$C:$C,Partidos!$X$2,Partidos!$E:$E,$B$3,Partidos!$F:$F,$A63)+COUNTIFS(Partidos!$C:$C,Partidos!$X$2,Partidos!$E:$E,$B$3,Partidos!$G:$G,$A63)+COUNTIFS(Partidos!$C:$C,Partidos!$X$2,Partidos!$F:$F,$B$3,Partidos!$D:$D,$A63)+COUNTIFS(Partidos!$C:$C,Partidos!$X$2,Partidos!$F:$F,$B$3,Partidos!$E:$E,$A63)+COUNTIFS(Partidos!$C:$C,Partidos!$X$2,Partidos!$G:$G,$B$3,Partidos!$D:$D,$A63)+COUNTIFS(Partidos!$C:$C,Partidos!$X$2,Partidos!$G:$G,$B$3,Partidos!$E:$E,$A63))</f>
        <v/>
      </c>
      <c r="C63" s="2" t="str">
        <f>IF($A63="","",COUNTIFS(Partidos!$C:$C,Partidos!$X$2,Partidos!$P:$P,"A",Partidos!$D:$D,$B$3,Partidos!$F:$F,$A63)+COUNTIFS(Partidos!$C:$C,Partidos!$X$2,Partidos!$P:$P,"A",Partidos!$D:$D,$B$3,Partidos!$G:$G,$A63)+COUNTIFS(Partidos!$C:$C,Partidos!$X$2,Partidos!$P:$P,"A",Partidos!$E:$E,$B$3,Partidos!$F:$F,$A63)+COUNTIFS(Partidos!$C:$C,Partidos!$X$2,Partidos!$P:$P,"A",Partidos!$E:$E,$B$3,Partidos!$G:$G,$A63)+COUNTIFS(Partidos!$C:$C,Partidos!$X$2,Partidos!$P:$P,"B",Partidos!$F:$F,$B$3,Partidos!$D:$D,$A63)+COUNTIFS(Partidos!$C:$C,Partidos!$X$2,Partidos!$P:$P,"B",Partidos!$F:$F,$B$3,Partidos!$E:$E,$A63)+COUNTIFS(Partidos!$C:$C,Partidos!$X$2,Partidos!$P:$P,"B",Partidos!$G:$G,$B$3,Partidos!$D:$D,$A63)+COUNTIFS(Partidos!$C:$C,Partidos!$X$2,Partidos!$P:$P,"B",Partidos!$G:$G,$B$3,Partidos!$E:$E,$A63))</f>
        <v/>
      </c>
      <c r="D63" s="2" t="str">
        <f t="shared" si="5"/>
        <v/>
      </c>
      <c r="E63" s="11" t="str">
        <f t="shared" si="3"/>
        <v/>
      </c>
      <c r="F63" s="13" t="str">
        <f>IF($A63="","",(IF($A63="","",SUMIFS(Partidos!$N:$N,Partidos!$C:$C,Partidos!$X$2,Partidos!$D:$D,$B$3,Partidos!$F:$F,$A63)+SUMIFS(Partidos!$N:$N,Partidos!$C:$C,Partidos!$X$2,Partidos!$D:$D,$B$3,Partidos!$G:$G,$A63)+SUMIFS(Partidos!$N:$N,Partidos!$C:$C,Partidos!$X$2,Partidos!$E:$E,$B$3,Partidos!$F:$F,$A63)+SUMIFS(Partidos!$N:$N,Partidos!$C:$C,Partidos!$X$2,Partidos!$E:$E,$B$3,Partidos!$G:$G,$A63)+SUMIFS(Partidos!$O:$O,Partidos!$C:$C,Partidos!$X$2,Partidos!$F:$F,$B$3,Partidos!$D:$D,$A63)+SUMIFS(Partidos!$O:$O,Partidos!$C:$C,Partidos!$X$2,Partidos!$F:$F,$B$3,Partidos!$E:$E,$A63)+SUMIFS(Partidos!$O:$O,Partidos!$C:$C,Partidos!$X$2,Partidos!$G:$G,$B$3,Partidos!$D:$D,$A63)+SUMIFS(Partidos!$O:$O,Partidos!$C:$C,Partidos!$X$2,Partidos!$G:$G,$B$3,Partidos!$E:$E,$A63)))&amp;"-"&amp;(IF($A63="","",SUMIFS(Partidos!$O:$O,Partidos!$C:$C,Partidos!$X$2,Partidos!$D:$D,$B$3,Partidos!$F:$F,$A63)+SUMIFS(Partidos!$O:$O,Partidos!$C:$C,Partidos!$X$2,Partidos!$D:$D,$B$3,Partidos!$G:$G,$A63)+SUMIFS(Partidos!$O:$O,Partidos!$C:$C,Partidos!$X$2,Partidos!$E:$E,$B$3,Partidos!$F:$F,$A63)+SUMIFS(Partidos!$O:$O,Partidos!$C:$C,Partidos!$X$2,Partidos!$E:$E,$B$3,Partidos!$G:$G,$A63)+SUMIFS(Partidos!$N:$N,Partidos!$C:$C,Partidos!$X$2,Partidos!$F:$F,$B$3,Partidos!$D:$D,$A63)+SUMIFS(Partidos!$N:$N,Partidos!$C:$C,Partidos!$X$2,Partidos!$F:$F,$B$3,Partidos!$E:$E,$A63)+SUMIFS(Partidos!$N:$N,Partidos!$C:$C,Partidos!$X$2,Partidos!$G:$G,$B$3,Partidos!$D:$D,$A63)+SUMIFS(Partidos!$N:$N,Partidos!$C:$C,Partidos!$X$2,Partidos!$G:$G,$B$3,Partidos!$E:$E,$A63))))</f>
        <v/>
      </c>
      <c r="G63" s="10" t="str">
        <f>IF($A63="","",(IF($A63="","",SUMIFS(Partidos!$Q:$Q,Partidos!$C:$C,Partidos!$X$2,Partidos!$D:$D,$B$3,Partidos!$F:$F,$A63)+SUMIFS(Partidos!$Q:$Q,Partidos!$C:$C,Partidos!$X$2,Partidos!$D:$D,$B$3,Partidos!$G:$G,$A63)+SUMIFS(Partidos!$Q:$Q,Partidos!$C:$C,Partidos!$X$2,Partidos!$E:$E,$B$3,Partidos!$F:$F,$A63)+SUMIFS(Partidos!$Q:$Q,Partidos!$C:$C,Partidos!$X$2,Partidos!$E:$E,$B$3,Partidos!$G:$G,$A63)+SUMIFS(Partidos!$R:$R,Partidos!$C:$C,Partidos!$X$2,Partidos!$F:$F,$B$3,Partidos!$D:$D,$A63)+SUMIFS(Partidos!$R:$R,Partidos!$C:$C,Partidos!$X$2,Partidos!$F:$F,$B$3,Partidos!$E:$E,$A63)+SUMIFS(Partidos!$R:$R,Partidos!$C:$C,Partidos!$X$2,Partidos!$G:$G,$B$3,Partidos!$D:$D,$A63)+SUMIFS(Partidos!$R:$R,Partidos!$C:$C,Partidos!$X$2,Partidos!$G:$G,$B$3,Partidos!$E:$E,$A63)))-(IF($A63="","",SUMIFS(Partidos!$R:$R,Partidos!$C:$C,Partidos!$X$2,Partidos!$D:$D,$B$3,Partidos!$F:$F,$A63)+SUMIFS(Partidos!$R:$R,Partidos!$C:$C,Partidos!$X$2,Partidos!$D:$D,$B$3,Partidos!$G:$G,$A63)+SUMIFS(Partidos!$R:$R,Partidos!$C:$C,Partidos!$X$2,Partidos!$E:$E,$B$3,Partidos!$F:$F,$A63)+SUMIFS(Partidos!$R:$R,Partidos!$C:$C,Partidos!$X$2,Partidos!$E:$E,$B$3,Partidos!$G:$G,$A63)+SUMIFS(Partidos!$Q:$Q,Partidos!$C:$C,Partidos!$X$2,Partidos!$F:$F,$B$3,Partidos!$D:$D,$A63)+SUMIFS(Partidos!$Q:$Q,Partidos!$C:$C,Partidos!$X$2,Partidos!$F:$F,$B$3,Partidos!$E:$E,$A63)+SUMIFS(Partidos!$Q:$Q,Partidos!$C:$C,Partidos!$X$2,Partidos!$G:$G,$B$3,Partidos!$D:$D,$A63)+SUMIFS(Partidos!$Q:$Q,Partidos!$C:$C,Partidos!$X$2,Partidos!$G:$G,$B$3,Partidos!$E:$E,$A63))))</f>
        <v/>
      </c>
      <c r="H63" s="2"/>
      <c r="J63" t="str">
        <f t="shared" si="6"/>
        <v/>
      </c>
      <c r="K63" t="str">
        <f t="shared" si="7"/>
        <v/>
      </c>
    </row>
    <row r="64" spans="1:11" x14ac:dyDescent="0.3">
      <c r="A64" s="6" t="str">
        <f>IF(Jugadores!B60="","",IF(Jugadores!B60=$B$3,"",Jugadores!B60))</f>
        <v/>
      </c>
      <c r="B64" s="2" t="str">
        <f>IF($A64="","",COUNTIFS(Partidos!$C:$C,Partidos!$X$2,Partidos!$D:$D,$B$3,Partidos!$F:$F,$A64)+COUNTIFS(Partidos!$C:$C,Partidos!$X$2,Partidos!$D:$D,$B$3,Partidos!$G:$G,$A64)+COUNTIFS(Partidos!$C:$C,Partidos!$X$2,Partidos!$E:$E,$B$3,Partidos!$F:$F,$A64)+COUNTIFS(Partidos!$C:$C,Partidos!$X$2,Partidos!$E:$E,$B$3,Partidos!$G:$G,$A64)+COUNTIFS(Partidos!$C:$C,Partidos!$X$2,Partidos!$F:$F,$B$3,Partidos!$D:$D,$A64)+COUNTIFS(Partidos!$C:$C,Partidos!$X$2,Partidos!$F:$F,$B$3,Partidos!$E:$E,$A64)+COUNTIFS(Partidos!$C:$C,Partidos!$X$2,Partidos!$G:$G,$B$3,Partidos!$D:$D,$A64)+COUNTIFS(Partidos!$C:$C,Partidos!$X$2,Partidos!$G:$G,$B$3,Partidos!$E:$E,$A64))</f>
        <v/>
      </c>
      <c r="C64" s="2" t="str">
        <f>IF($A64="","",COUNTIFS(Partidos!$C:$C,Partidos!$X$2,Partidos!$P:$P,"A",Partidos!$D:$D,$B$3,Partidos!$F:$F,$A64)+COUNTIFS(Partidos!$C:$C,Partidos!$X$2,Partidos!$P:$P,"A",Partidos!$D:$D,$B$3,Partidos!$G:$G,$A64)+COUNTIFS(Partidos!$C:$C,Partidos!$X$2,Partidos!$P:$P,"A",Partidos!$E:$E,$B$3,Partidos!$F:$F,$A64)+COUNTIFS(Partidos!$C:$C,Partidos!$X$2,Partidos!$P:$P,"A",Partidos!$E:$E,$B$3,Partidos!$G:$G,$A64)+COUNTIFS(Partidos!$C:$C,Partidos!$X$2,Partidos!$P:$P,"B",Partidos!$F:$F,$B$3,Partidos!$D:$D,$A64)+COUNTIFS(Partidos!$C:$C,Partidos!$X$2,Partidos!$P:$P,"B",Partidos!$F:$F,$B$3,Partidos!$E:$E,$A64)+COUNTIFS(Partidos!$C:$C,Partidos!$X$2,Partidos!$P:$P,"B",Partidos!$G:$G,$B$3,Partidos!$D:$D,$A64)+COUNTIFS(Partidos!$C:$C,Partidos!$X$2,Partidos!$P:$P,"B",Partidos!$G:$G,$B$3,Partidos!$E:$E,$A64))</f>
        <v/>
      </c>
      <c r="D64" s="2" t="str">
        <f t="shared" si="5"/>
        <v/>
      </c>
      <c r="E64" s="11" t="str">
        <f t="shared" si="3"/>
        <v/>
      </c>
      <c r="F64" s="13" t="str">
        <f>IF($A64="","",(IF($A64="","",SUMIFS(Partidos!$N:$N,Partidos!$C:$C,Partidos!$X$2,Partidos!$D:$D,$B$3,Partidos!$F:$F,$A64)+SUMIFS(Partidos!$N:$N,Partidos!$C:$C,Partidos!$X$2,Partidos!$D:$D,$B$3,Partidos!$G:$G,$A64)+SUMIFS(Partidos!$N:$N,Partidos!$C:$C,Partidos!$X$2,Partidos!$E:$E,$B$3,Partidos!$F:$F,$A64)+SUMIFS(Partidos!$N:$N,Partidos!$C:$C,Partidos!$X$2,Partidos!$E:$E,$B$3,Partidos!$G:$G,$A64)+SUMIFS(Partidos!$O:$O,Partidos!$C:$C,Partidos!$X$2,Partidos!$F:$F,$B$3,Partidos!$D:$D,$A64)+SUMIFS(Partidos!$O:$O,Partidos!$C:$C,Partidos!$X$2,Partidos!$F:$F,$B$3,Partidos!$E:$E,$A64)+SUMIFS(Partidos!$O:$O,Partidos!$C:$C,Partidos!$X$2,Partidos!$G:$G,$B$3,Partidos!$D:$D,$A64)+SUMIFS(Partidos!$O:$O,Partidos!$C:$C,Partidos!$X$2,Partidos!$G:$G,$B$3,Partidos!$E:$E,$A64)))&amp;"-"&amp;(IF($A64="","",SUMIFS(Partidos!$O:$O,Partidos!$C:$C,Partidos!$X$2,Partidos!$D:$D,$B$3,Partidos!$F:$F,$A64)+SUMIFS(Partidos!$O:$O,Partidos!$C:$C,Partidos!$X$2,Partidos!$D:$D,$B$3,Partidos!$G:$G,$A64)+SUMIFS(Partidos!$O:$O,Partidos!$C:$C,Partidos!$X$2,Partidos!$E:$E,$B$3,Partidos!$F:$F,$A64)+SUMIFS(Partidos!$O:$O,Partidos!$C:$C,Partidos!$X$2,Partidos!$E:$E,$B$3,Partidos!$G:$G,$A64)+SUMIFS(Partidos!$N:$N,Partidos!$C:$C,Partidos!$X$2,Partidos!$F:$F,$B$3,Partidos!$D:$D,$A64)+SUMIFS(Partidos!$N:$N,Partidos!$C:$C,Partidos!$X$2,Partidos!$F:$F,$B$3,Partidos!$E:$E,$A64)+SUMIFS(Partidos!$N:$N,Partidos!$C:$C,Partidos!$X$2,Partidos!$G:$G,$B$3,Partidos!$D:$D,$A64)+SUMIFS(Partidos!$N:$N,Partidos!$C:$C,Partidos!$X$2,Partidos!$G:$G,$B$3,Partidos!$E:$E,$A64))))</f>
        <v/>
      </c>
      <c r="G64" s="10" t="str">
        <f>IF($A64="","",(IF($A64="","",SUMIFS(Partidos!$Q:$Q,Partidos!$C:$C,Partidos!$X$2,Partidos!$D:$D,$B$3,Partidos!$F:$F,$A64)+SUMIFS(Partidos!$Q:$Q,Partidos!$C:$C,Partidos!$X$2,Partidos!$D:$D,$B$3,Partidos!$G:$G,$A64)+SUMIFS(Partidos!$Q:$Q,Partidos!$C:$C,Partidos!$X$2,Partidos!$E:$E,$B$3,Partidos!$F:$F,$A64)+SUMIFS(Partidos!$Q:$Q,Partidos!$C:$C,Partidos!$X$2,Partidos!$E:$E,$B$3,Partidos!$G:$G,$A64)+SUMIFS(Partidos!$R:$R,Partidos!$C:$C,Partidos!$X$2,Partidos!$F:$F,$B$3,Partidos!$D:$D,$A64)+SUMIFS(Partidos!$R:$R,Partidos!$C:$C,Partidos!$X$2,Partidos!$F:$F,$B$3,Partidos!$E:$E,$A64)+SUMIFS(Partidos!$R:$R,Partidos!$C:$C,Partidos!$X$2,Partidos!$G:$G,$B$3,Partidos!$D:$D,$A64)+SUMIFS(Partidos!$R:$R,Partidos!$C:$C,Partidos!$X$2,Partidos!$G:$G,$B$3,Partidos!$E:$E,$A64)))-(IF($A64="","",SUMIFS(Partidos!$R:$R,Partidos!$C:$C,Partidos!$X$2,Partidos!$D:$D,$B$3,Partidos!$F:$F,$A64)+SUMIFS(Partidos!$R:$R,Partidos!$C:$C,Partidos!$X$2,Partidos!$D:$D,$B$3,Partidos!$G:$G,$A64)+SUMIFS(Partidos!$R:$R,Partidos!$C:$C,Partidos!$X$2,Partidos!$E:$E,$B$3,Partidos!$F:$F,$A64)+SUMIFS(Partidos!$R:$R,Partidos!$C:$C,Partidos!$X$2,Partidos!$E:$E,$B$3,Partidos!$G:$G,$A64)+SUMIFS(Partidos!$Q:$Q,Partidos!$C:$C,Partidos!$X$2,Partidos!$F:$F,$B$3,Partidos!$D:$D,$A64)+SUMIFS(Partidos!$Q:$Q,Partidos!$C:$C,Partidos!$X$2,Partidos!$F:$F,$B$3,Partidos!$E:$E,$A64)+SUMIFS(Partidos!$Q:$Q,Partidos!$C:$C,Partidos!$X$2,Partidos!$G:$G,$B$3,Partidos!$D:$D,$A64)+SUMIFS(Partidos!$Q:$Q,Partidos!$C:$C,Partidos!$X$2,Partidos!$G:$G,$B$3,Partidos!$E:$E,$A64))))</f>
        <v/>
      </c>
      <c r="H64" s="2"/>
      <c r="J64" t="str">
        <f t="shared" si="6"/>
        <v/>
      </c>
      <c r="K64" t="str">
        <f t="shared" si="7"/>
        <v/>
      </c>
    </row>
    <row r="65" spans="1:11" x14ac:dyDescent="0.3">
      <c r="A65" s="6" t="str">
        <f>IF(Jugadores!B61="","",IF(Jugadores!B61=$B$3,"",Jugadores!B61))</f>
        <v/>
      </c>
      <c r="B65" s="2" t="str">
        <f>IF($A65="","",COUNTIFS(Partidos!$C:$C,Partidos!$X$2,Partidos!$D:$D,$B$3,Partidos!$F:$F,$A65)+COUNTIFS(Partidos!$C:$C,Partidos!$X$2,Partidos!$D:$D,$B$3,Partidos!$G:$G,$A65)+COUNTIFS(Partidos!$C:$C,Partidos!$X$2,Partidos!$E:$E,$B$3,Partidos!$F:$F,$A65)+COUNTIFS(Partidos!$C:$C,Partidos!$X$2,Partidos!$E:$E,$B$3,Partidos!$G:$G,$A65)+COUNTIFS(Partidos!$C:$C,Partidos!$X$2,Partidos!$F:$F,$B$3,Partidos!$D:$D,$A65)+COUNTIFS(Partidos!$C:$C,Partidos!$X$2,Partidos!$F:$F,$B$3,Partidos!$E:$E,$A65)+COUNTIFS(Partidos!$C:$C,Partidos!$X$2,Partidos!$G:$G,$B$3,Partidos!$D:$D,$A65)+COUNTIFS(Partidos!$C:$C,Partidos!$X$2,Partidos!$G:$G,$B$3,Partidos!$E:$E,$A65))</f>
        <v/>
      </c>
      <c r="C65" s="2" t="str">
        <f>IF($A65="","",COUNTIFS(Partidos!$C:$C,Partidos!$X$2,Partidos!$P:$P,"A",Partidos!$D:$D,$B$3,Partidos!$F:$F,$A65)+COUNTIFS(Partidos!$C:$C,Partidos!$X$2,Partidos!$P:$P,"A",Partidos!$D:$D,$B$3,Partidos!$G:$G,$A65)+COUNTIFS(Partidos!$C:$C,Partidos!$X$2,Partidos!$P:$P,"A",Partidos!$E:$E,$B$3,Partidos!$F:$F,$A65)+COUNTIFS(Partidos!$C:$C,Partidos!$X$2,Partidos!$P:$P,"A",Partidos!$E:$E,$B$3,Partidos!$G:$G,$A65)+COUNTIFS(Partidos!$C:$C,Partidos!$X$2,Partidos!$P:$P,"B",Partidos!$F:$F,$B$3,Partidos!$D:$D,$A65)+COUNTIFS(Partidos!$C:$C,Partidos!$X$2,Partidos!$P:$P,"B",Partidos!$F:$F,$B$3,Partidos!$E:$E,$A65)+COUNTIFS(Partidos!$C:$C,Partidos!$X$2,Partidos!$P:$P,"B",Partidos!$G:$G,$B$3,Partidos!$D:$D,$A65)+COUNTIFS(Partidos!$C:$C,Partidos!$X$2,Partidos!$P:$P,"B",Partidos!$G:$G,$B$3,Partidos!$E:$E,$A65))</f>
        <v/>
      </c>
      <c r="D65" s="2" t="str">
        <f t="shared" si="5"/>
        <v/>
      </c>
      <c r="E65" s="11" t="str">
        <f t="shared" si="3"/>
        <v/>
      </c>
      <c r="F65" s="13" t="str">
        <f>IF($A65="","",(IF($A65="","",SUMIFS(Partidos!$N:$N,Partidos!$C:$C,Partidos!$X$2,Partidos!$D:$D,$B$3,Partidos!$F:$F,$A65)+SUMIFS(Partidos!$N:$N,Partidos!$C:$C,Partidos!$X$2,Partidos!$D:$D,$B$3,Partidos!$G:$G,$A65)+SUMIFS(Partidos!$N:$N,Partidos!$C:$C,Partidos!$X$2,Partidos!$E:$E,$B$3,Partidos!$F:$F,$A65)+SUMIFS(Partidos!$N:$N,Partidos!$C:$C,Partidos!$X$2,Partidos!$E:$E,$B$3,Partidos!$G:$G,$A65)+SUMIFS(Partidos!$O:$O,Partidos!$C:$C,Partidos!$X$2,Partidos!$F:$F,$B$3,Partidos!$D:$D,$A65)+SUMIFS(Partidos!$O:$O,Partidos!$C:$C,Partidos!$X$2,Partidos!$F:$F,$B$3,Partidos!$E:$E,$A65)+SUMIFS(Partidos!$O:$O,Partidos!$C:$C,Partidos!$X$2,Partidos!$G:$G,$B$3,Partidos!$D:$D,$A65)+SUMIFS(Partidos!$O:$O,Partidos!$C:$C,Partidos!$X$2,Partidos!$G:$G,$B$3,Partidos!$E:$E,$A65)))&amp;"-"&amp;(IF($A65="","",SUMIFS(Partidos!$O:$O,Partidos!$C:$C,Partidos!$X$2,Partidos!$D:$D,$B$3,Partidos!$F:$F,$A65)+SUMIFS(Partidos!$O:$O,Partidos!$C:$C,Partidos!$X$2,Partidos!$D:$D,$B$3,Partidos!$G:$G,$A65)+SUMIFS(Partidos!$O:$O,Partidos!$C:$C,Partidos!$X$2,Partidos!$E:$E,$B$3,Partidos!$F:$F,$A65)+SUMIFS(Partidos!$O:$O,Partidos!$C:$C,Partidos!$X$2,Partidos!$E:$E,$B$3,Partidos!$G:$G,$A65)+SUMIFS(Partidos!$N:$N,Partidos!$C:$C,Partidos!$X$2,Partidos!$F:$F,$B$3,Partidos!$D:$D,$A65)+SUMIFS(Partidos!$N:$N,Partidos!$C:$C,Partidos!$X$2,Partidos!$F:$F,$B$3,Partidos!$E:$E,$A65)+SUMIFS(Partidos!$N:$N,Partidos!$C:$C,Partidos!$X$2,Partidos!$G:$G,$B$3,Partidos!$D:$D,$A65)+SUMIFS(Partidos!$N:$N,Partidos!$C:$C,Partidos!$X$2,Partidos!$G:$G,$B$3,Partidos!$E:$E,$A65))))</f>
        <v/>
      </c>
      <c r="G65" s="10" t="str">
        <f>IF($A65="","",(IF($A65="","",SUMIFS(Partidos!$Q:$Q,Partidos!$C:$C,Partidos!$X$2,Partidos!$D:$D,$B$3,Partidos!$F:$F,$A65)+SUMIFS(Partidos!$Q:$Q,Partidos!$C:$C,Partidos!$X$2,Partidos!$D:$D,$B$3,Partidos!$G:$G,$A65)+SUMIFS(Partidos!$Q:$Q,Partidos!$C:$C,Partidos!$X$2,Partidos!$E:$E,$B$3,Partidos!$F:$F,$A65)+SUMIFS(Partidos!$Q:$Q,Partidos!$C:$C,Partidos!$X$2,Partidos!$E:$E,$B$3,Partidos!$G:$G,$A65)+SUMIFS(Partidos!$R:$R,Partidos!$C:$C,Partidos!$X$2,Partidos!$F:$F,$B$3,Partidos!$D:$D,$A65)+SUMIFS(Partidos!$R:$R,Partidos!$C:$C,Partidos!$X$2,Partidos!$F:$F,$B$3,Partidos!$E:$E,$A65)+SUMIFS(Partidos!$R:$R,Partidos!$C:$C,Partidos!$X$2,Partidos!$G:$G,$B$3,Partidos!$D:$D,$A65)+SUMIFS(Partidos!$R:$R,Partidos!$C:$C,Partidos!$X$2,Partidos!$G:$G,$B$3,Partidos!$E:$E,$A65)))-(IF($A65="","",SUMIFS(Partidos!$R:$R,Partidos!$C:$C,Partidos!$X$2,Partidos!$D:$D,$B$3,Partidos!$F:$F,$A65)+SUMIFS(Partidos!$R:$R,Partidos!$C:$C,Partidos!$X$2,Partidos!$D:$D,$B$3,Partidos!$G:$G,$A65)+SUMIFS(Partidos!$R:$R,Partidos!$C:$C,Partidos!$X$2,Partidos!$E:$E,$B$3,Partidos!$F:$F,$A65)+SUMIFS(Partidos!$R:$R,Partidos!$C:$C,Partidos!$X$2,Partidos!$E:$E,$B$3,Partidos!$G:$G,$A65)+SUMIFS(Partidos!$Q:$Q,Partidos!$C:$C,Partidos!$X$2,Partidos!$F:$F,$B$3,Partidos!$D:$D,$A65)+SUMIFS(Partidos!$Q:$Q,Partidos!$C:$C,Partidos!$X$2,Partidos!$F:$F,$B$3,Partidos!$E:$E,$A65)+SUMIFS(Partidos!$Q:$Q,Partidos!$C:$C,Partidos!$X$2,Partidos!$G:$G,$B$3,Partidos!$D:$D,$A65)+SUMIFS(Partidos!$Q:$Q,Partidos!$C:$C,Partidos!$X$2,Partidos!$G:$G,$B$3,Partidos!$E:$E,$A65))))</f>
        <v/>
      </c>
      <c r="H65" s="2"/>
      <c r="J65" t="str">
        <f t="shared" si="6"/>
        <v/>
      </c>
      <c r="K65" t="str">
        <f t="shared" si="7"/>
        <v/>
      </c>
    </row>
  </sheetData>
  <sortState xmlns:xlrd2="http://schemas.microsoft.com/office/spreadsheetml/2017/richdata2" ref="A6:H21">
    <sortCondition ref="E6:E21"/>
  </sortState>
  <mergeCells count="1">
    <mergeCell ref="A1:H1"/>
  </mergeCells>
  <dataValidations count="2">
    <dataValidation type="list" allowBlank="1" showErrorMessage="1" errorTitle="Jugador no permitido" error="Selecciona un jugador existente en la hoja 'Jugadores'." sqref="B3" xr:uid="{00000000-0002-0000-0600-000000000000}">
      <formula1>PlayersList</formula1>
    </dataValidation>
    <dataValidation type="list" sqref="K2" xr:uid="{00000000-0002-0000-0600-000001000000}">
      <formula1>"%V,PJ"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9"/>
  <sheetViews>
    <sheetView tabSelected="1" workbookViewId="0">
      <pane ySplit="5" topLeftCell="A19" activePane="bottomLeft" state="frozen"/>
      <selection pane="bottomLeft" activeCell="B26" sqref="B26"/>
    </sheetView>
  </sheetViews>
  <sheetFormatPr baseColWidth="10" defaultColWidth="8.88671875" defaultRowHeight="14.4" x14ac:dyDescent="0.3"/>
  <cols>
    <col min="1" max="1" width="16" customWidth="1"/>
    <col min="2" max="2" width="14" customWidth="1"/>
    <col min="3" max="4" width="8" customWidth="1"/>
    <col min="5" max="6" width="10" customWidth="1"/>
    <col min="7" max="7" width="15.44140625" bestFit="1" customWidth="1"/>
    <col min="8" max="8" width="8" customWidth="1"/>
    <col min="9" max="9" width="14.6640625" customWidth="1"/>
  </cols>
  <sheetData>
    <row r="1" spans="1:9" ht="24" customHeight="1" x14ac:dyDescent="0.3">
      <c r="A1" s="32" t="s">
        <v>82</v>
      </c>
      <c r="B1" s="31"/>
      <c r="C1" s="31"/>
      <c r="D1" s="31"/>
      <c r="E1" s="31"/>
      <c r="F1" s="31"/>
      <c r="G1" s="31"/>
      <c r="H1" s="31"/>
      <c r="I1" s="31"/>
    </row>
    <row r="3" spans="1:9" x14ac:dyDescent="0.3">
      <c r="A3" s="5" t="s">
        <v>48</v>
      </c>
      <c r="B3" s="3" t="s">
        <v>119</v>
      </c>
    </row>
    <row r="4" spans="1:9" x14ac:dyDescent="0.3">
      <c r="A4" s="15"/>
      <c r="B4" s="15"/>
      <c r="C4" s="15"/>
      <c r="D4" s="15"/>
      <c r="E4" s="15"/>
      <c r="F4" s="15"/>
      <c r="G4" s="15"/>
      <c r="H4" s="15"/>
      <c r="I4" s="15"/>
    </row>
    <row r="5" spans="1:9" x14ac:dyDescent="0.3">
      <c r="A5" s="36" t="s">
        <v>83</v>
      </c>
      <c r="B5" s="31"/>
      <c r="C5" s="15"/>
      <c r="D5" s="16" t="s">
        <v>84</v>
      </c>
      <c r="E5" s="15"/>
      <c r="F5" s="15"/>
      <c r="G5" s="15"/>
      <c r="H5" s="15"/>
      <c r="I5" s="15"/>
    </row>
    <row r="6" spans="1:9" x14ac:dyDescent="0.3">
      <c r="A6" s="16" t="s">
        <v>85</v>
      </c>
      <c r="B6" s="17">
        <f>IF($B$3="","",INDEX(Ranking!$A$2:$A$61,MATCH($B$3,Ranking!$B$2:$B$61,0)))</f>
        <v>11</v>
      </c>
      <c r="C6" s="15"/>
      <c r="D6" s="34" t="s">
        <v>86</v>
      </c>
      <c r="E6" s="31"/>
      <c r="F6" s="31"/>
      <c r="G6" s="31"/>
      <c r="H6" s="31"/>
      <c r="I6" s="31"/>
    </row>
    <row r="7" spans="1:9" x14ac:dyDescent="0.3">
      <c r="A7" s="16" t="s">
        <v>49</v>
      </c>
      <c r="B7" s="17">
        <f>IF($B$3="","",INDEX(Ranking!$C$2:$C$61,MATCH($B$3,Ranking!$B$2:$B$61,0)))</f>
        <v>32</v>
      </c>
      <c r="C7" s="15"/>
      <c r="D7" s="34" t="s">
        <v>87</v>
      </c>
      <c r="E7" s="31"/>
      <c r="F7" s="31"/>
      <c r="G7" s="31"/>
      <c r="H7" s="31"/>
      <c r="I7" s="31"/>
    </row>
    <row r="8" spans="1:9" x14ac:dyDescent="0.3">
      <c r="A8" s="16" t="s">
        <v>77</v>
      </c>
      <c r="B8" s="17">
        <f>IF($B$3="","",INDEX(Ranking!$D$2:$D$61,MATCH($B$3,Ranking!$B$2:$B$61,0)))</f>
        <v>6</v>
      </c>
      <c r="C8" s="15"/>
      <c r="D8" s="34" t="s">
        <v>88</v>
      </c>
      <c r="E8" s="31"/>
      <c r="F8" s="31"/>
      <c r="G8" s="31"/>
      <c r="H8" s="31"/>
      <c r="I8" s="31"/>
    </row>
    <row r="9" spans="1:9" x14ac:dyDescent="0.3">
      <c r="A9" s="16" t="s">
        <v>78</v>
      </c>
      <c r="B9" s="17">
        <f>IF($B$3="","",INDEX(Ranking!$E$2:$E$61,MATCH($B$3,Ranking!$B$2:$B$61,0)))</f>
        <v>26</v>
      </c>
      <c r="C9" s="15"/>
      <c r="D9" s="15"/>
      <c r="E9" s="15"/>
      <c r="F9" s="15"/>
      <c r="G9" s="15"/>
      <c r="H9" s="15"/>
      <c r="I9" s="15"/>
    </row>
    <row r="10" spans="1:9" x14ac:dyDescent="0.3">
      <c r="A10" s="16" t="s">
        <v>55</v>
      </c>
      <c r="B10" s="18">
        <f>IF($B$3="","",INDEX(Ranking!$I$2:$I$61,MATCH($B$3,Ranking!$B$2:$B$61,0)))</f>
        <v>0.42</v>
      </c>
      <c r="C10" s="15"/>
      <c r="D10" s="15"/>
      <c r="E10" s="15"/>
      <c r="F10" s="15"/>
      <c r="G10" s="15"/>
      <c r="H10" s="15"/>
      <c r="I10" s="15"/>
    </row>
    <row r="11" spans="1:9" x14ac:dyDescent="0.3">
      <c r="A11" s="16" t="s">
        <v>62</v>
      </c>
      <c r="B11" s="18">
        <f>IF($B$3="","",INDEX(Ranking!$J$2:$J$61,MATCH($B$3,Ranking!$B$2:$B$61,0)))</f>
        <v>12.42</v>
      </c>
      <c r="C11" s="15"/>
      <c r="D11" s="15"/>
      <c r="E11" s="15"/>
      <c r="F11" s="15"/>
      <c r="G11" s="15"/>
      <c r="H11" s="15"/>
      <c r="I11" s="15"/>
    </row>
    <row r="12" spans="1:9" x14ac:dyDescent="0.3">
      <c r="A12" s="16" t="s">
        <v>52</v>
      </c>
      <c r="B12" s="18">
        <f>IF($B$3="","",INDEX(Ranking!$F$2:$F$61,MATCH($B$3,Ranking!$B$2:$B$61,0)))</f>
        <v>281</v>
      </c>
      <c r="C12" s="15"/>
      <c r="D12" s="15"/>
      <c r="E12" s="15"/>
      <c r="F12" s="15"/>
      <c r="G12" s="15"/>
      <c r="H12" s="15"/>
      <c r="I12" s="15"/>
    </row>
    <row r="13" spans="1:9" x14ac:dyDescent="0.3">
      <c r="A13" s="16" t="s">
        <v>53</v>
      </c>
      <c r="B13" s="18">
        <f>IF($B$3="","",INDEX(Ranking!$G$2:$G$61,MATCH($B$3,Ranking!$B$2:$B$61,0)))</f>
        <v>414</v>
      </c>
      <c r="C13" s="15"/>
      <c r="D13" s="15"/>
      <c r="E13" s="15"/>
      <c r="F13" s="15"/>
      <c r="G13" s="15"/>
      <c r="H13" s="15"/>
      <c r="I13" s="15"/>
    </row>
    <row r="14" spans="1:9" x14ac:dyDescent="0.3">
      <c r="A14" s="16" t="s">
        <v>89</v>
      </c>
      <c r="B14" s="18">
        <f>IF($B$3="","",INDEX(Ranking!$H$2:$H$61,MATCH($B$3,Ranking!$B$2:$B$61,0)))</f>
        <v>-133</v>
      </c>
      <c r="C14" s="15"/>
      <c r="D14" s="15"/>
      <c r="E14" s="15"/>
      <c r="F14" s="15"/>
      <c r="G14" s="15"/>
      <c r="H14" s="15"/>
      <c r="I14" s="15"/>
    </row>
    <row r="15" spans="1:9" x14ac:dyDescent="0.3">
      <c r="A15" s="16" t="s">
        <v>57</v>
      </c>
      <c r="B15" s="18">
        <f>IF($B$3="","",INDEX(Ranking!$K$2:$K$61,MATCH($B$3,Ranking!$B$2:$B$61,0)))</f>
        <v>21</v>
      </c>
      <c r="C15" s="15"/>
      <c r="D15" s="15"/>
      <c r="E15" s="15"/>
      <c r="F15" s="15"/>
      <c r="G15" s="15"/>
      <c r="H15" s="15"/>
      <c r="I15" s="15"/>
    </row>
    <row r="16" spans="1:9" x14ac:dyDescent="0.3">
      <c r="A16" s="16" t="s">
        <v>58</v>
      </c>
      <c r="B16" s="18">
        <f>IF($B$3="","",INDEX(Ranking!$L$2:$L$61,MATCH($B$3,Ranking!$B$2:$B$61,0)))</f>
        <v>55</v>
      </c>
      <c r="C16" s="15"/>
      <c r="D16" s="15"/>
      <c r="E16" s="19"/>
      <c r="F16" s="19"/>
      <c r="G16" s="15"/>
      <c r="H16" s="15"/>
      <c r="I16" s="19"/>
    </row>
    <row r="17" spans="1:9" x14ac:dyDescent="0.3">
      <c r="A17" s="16" t="s">
        <v>59</v>
      </c>
      <c r="B17" s="18">
        <f>IF($B$3="","",INDEX(Ranking!$M$2:$M$61,MATCH($B$3,Ranking!$B$2:$B$61,0)))</f>
        <v>-34</v>
      </c>
      <c r="C17" s="15"/>
      <c r="D17" s="15"/>
      <c r="E17" s="19"/>
      <c r="F17" s="19"/>
      <c r="G17" s="15"/>
      <c r="H17" s="15"/>
      <c r="I17" s="19"/>
    </row>
    <row r="18" spans="1:9" x14ac:dyDescent="0.3">
      <c r="A18" s="15"/>
      <c r="B18" s="20"/>
      <c r="C18" s="15"/>
      <c r="D18" s="15"/>
      <c r="E18" s="19"/>
      <c r="F18" s="19"/>
      <c r="G18" s="15"/>
      <c r="H18" s="15"/>
      <c r="I18" s="19"/>
    </row>
    <row r="19" spans="1:9" x14ac:dyDescent="0.3">
      <c r="A19" s="35" t="s">
        <v>90</v>
      </c>
      <c r="B19" s="31"/>
      <c r="C19" s="31"/>
      <c r="D19" s="31"/>
      <c r="E19" s="31"/>
      <c r="G19" s="35" t="s">
        <v>91</v>
      </c>
      <c r="H19" s="31"/>
      <c r="I19" s="31"/>
    </row>
    <row r="20" spans="1:9" x14ac:dyDescent="0.3">
      <c r="A20" s="1" t="s">
        <v>14</v>
      </c>
      <c r="B20" s="1" t="s">
        <v>49</v>
      </c>
      <c r="C20" s="1" t="s">
        <v>50</v>
      </c>
      <c r="D20" s="1" t="s">
        <v>51</v>
      </c>
      <c r="E20" s="21" t="s">
        <v>65</v>
      </c>
      <c r="F20" s="28"/>
      <c r="G20" s="1" t="s">
        <v>75</v>
      </c>
      <c r="H20" s="1" t="s">
        <v>49</v>
      </c>
      <c r="I20" s="21" t="s">
        <v>65</v>
      </c>
    </row>
    <row r="21" spans="1:9" x14ac:dyDescent="0.3">
      <c r="A21" s="22" t="str">
        <f>IF($B$3="","",Parejas!N6)</f>
        <v>José López</v>
      </c>
      <c r="B21" s="23">
        <f>IF($B$3="","",Parejas!O6)</f>
        <v>1</v>
      </c>
      <c r="C21" s="23">
        <f>IF($B$3="","",Parejas!P6)</f>
        <v>1</v>
      </c>
      <c r="D21" s="23">
        <f>IF($B$3="","",Parejas!Q6)</f>
        <v>0</v>
      </c>
      <c r="E21" s="24">
        <f>IF($B$3="","",Parejas!R6)</f>
        <v>1</v>
      </c>
      <c r="F21" s="24"/>
      <c r="G21" s="22" t="str">
        <f>IF($B$3="","",Rivales!A6)</f>
        <v>Guillermo Medina</v>
      </c>
      <c r="H21" s="23">
        <f>IF($B$3="","",Rivales!B6)</f>
        <v>4</v>
      </c>
      <c r="I21" s="24">
        <f>IF($B$3="","",Rivales!E6)</f>
        <v>0</v>
      </c>
    </row>
    <row r="22" spans="1:9" x14ac:dyDescent="0.3">
      <c r="A22" s="22" t="str">
        <f>IF($B$3="","",Parejas!N7)</f>
        <v>Israel Suárez</v>
      </c>
      <c r="B22" s="23">
        <f>IF($B$3="","",Parejas!O7)</f>
        <v>3</v>
      </c>
      <c r="C22" s="23">
        <f>IF($B$3="","",Parejas!P7)</f>
        <v>2</v>
      </c>
      <c r="D22" s="23">
        <f>IF($B$3="","",Parejas!Q7)</f>
        <v>1</v>
      </c>
      <c r="E22" s="24">
        <f>IF($B$3="","",Parejas!R7)</f>
        <v>0.66666666666666663</v>
      </c>
      <c r="F22" s="24"/>
      <c r="G22" s="22" t="str">
        <f>IF($B$3="","",Rivales!A7)</f>
        <v>Imobach González</v>
      </c>
      <c r="H22" s="23">
        <f>IF($B$3="","",Rivales!B7)</f>
        <v>2</v>
      </c>
      <c r="I22" s="24">
        <f>IF($B$3="","",Rivales!E7)</f>
        <v>0</v>
      </c>
    </row>
    <row r="23" spans="1:9" x14ac:dyDescent="0.3">
      <c r="A23" s="22" t="str">
        <f>IF($B$3="","",Parejas!N8)</f>
        <v>Carmelo Rosario</v>
      </c>
      <c r="B23" s="23">
        <f>IF($B$3="","",Parejas!O8)</f>
        <v>5</v>
      </c>
      <c r="C23" s="23">
        <f>IF($B$3="","",Parejas!P8)</f>
        <v>2</v>
      </c>
      <c r="D23" s="23">
        <f>IF($B$3="","",Parejas!Q8)</f>
        <v>3</v>
      </c>
      <c r="E23" s="24">
        <f>IF($B$3="","",Parejas!R8)</f>
        <v>0.4</v>
      </c>
      <c r="F23" s="24"/>
      <c r="G23" s="22" t="str">
        <f>IF($B$3="","",Rivales!A8)</f>
        <v>César Morales</v>
      </c>
      <c r="H23" s="23">
        <f>IF($B$3="","",Rivales!B8)</f>
        <v>3</v>
      </c>
      <c r="I23" s="24">
        <f>IF($B$3="","",Rivales!E8)</f>
        <v>0</v>
      </c>
    </row>
    <row r="24" spans="1:9" x14ac:dyDescent="0.3">
      <c r="A24" s="22" t="str">
        <f>IF($B$3="","",Parejas!N9)</f>
        <v>Javier suarez</v>
      </c>
      <c r="B24" s="23">
        <f>IF($B$3="","",Parejas!O9)</f>
        <v>4</v>
      </c>
      <c r="C24" s="23">
        <f>IF($B$3="","",Parejas!P9)</f>
        <v>1</v>
      </c>
      <c r="D24" s="23">
        <f>IF($B$3="","",Parejas!Q9)</f>
        <v>3</v>
      </c>
      <c r="E24" s="24">
        <f>IF($B$3="","",Parejas!R9)</f>
        <v>0.25</v>
      </c>
      <c r="F24" s="24"/>
      <c r="G24" s="22" t="str">
        <f>IF($B$3="","",Rivales!A9)</f>
        <v>Israel Suárez</v>
      </c>
      <c r="H24" s="23">
        <f>IF($B$3="","",Rivales!B9)</f>
        <v>6</v>
      </c>
      <c r="I24" s="24">
        <f>IF($B$3="","",Rivales!E9)</f>
        <v>0</v>
      </c>
    </row>
    <row r="25" spans="1:9" x14ac:dyDescent="0.3">
      <c r="A25" s="22" t="str">
        <f>IF($B$3="","",Parejas!N10)</f>
        <v>Javier Bonilla</v>
      </c>
      <c r="B25" s="23">
        <f>IF($B$3="","",Parejas!O10)</f>
        <v>6</v>
      </c>
      <c r="C25" s="23">
        <f>IF($B$3="","",Parejas!P10)</f>
        <v>0</v>
      </c>
      <c r="D25" s="23">
        <f>IF($B$3="","",Parejas!Q10)</f>
        <v>6</v>
      </c>
      <c r="E25" s="24">
        <f>IF($B$3="","",Parejas!R10)</f>
        <v>0</v>
      </c>
      <c r="F25" s="24"/>
      <c r="G25" s="22" t="str">
        <f>IF($B$3="","",Rivales!A10)</f>
        <v>José Fernando</v>
      </c>
      <c r="H25" s="23">
        <f>IF($B$3="","",Rivales!B10)</f>
        <v>1</v>
      </c>
      <c r="I25" s="24">
        <f>IF($B$3="","",Rivales!E10)</f>
        <v>0</v>
      </c>
    </row>
    <row r="26" spans="1:9" ht="28.8" x14ac:dyDescent="0.3">
      <c r="A26" s="22" t="str">
        <f>IF($B$3="","",Parejas!N11)</f>
        <v>Imobach González</v>
      </c>
      <c r="B26" s="23">
        <f>IF($B$3="","",Parejas!O11)</f>
        <v>5</v>
      </c>
      <c r="C26" s="23">
        <f>IF($B$3="","",Parejas!P11)</f>
        <v>0</v>
      </c>
      <c r="D26" s="23">
        <f>IF($B$3="","",Parejas!Q11)</f>
        <v>5</v>
      </c>
      <c r="E26" s="24">
        <f>IF($B$3="","",Parejas!R11)</f>
        <v>0</v>
      </c>
      <c r="F26" s="24"/>
      <c r="G26" s="22" t="str">
        <f>IF($B$3="","",Rivales!A11)</f>
        <v>Javier suarez</v>
      </c>
      <c r="H26" s="23">
        <f>IF($B$3="","",Rivales!B11)</f>
        <v>10</v>
      </c>
      <c r="I26" s="24">
        <f>IF($B$3="","",Rivales!E11)</f>
        <v>0.1</v>
      </c>
    </row>
    <row r="27" spans="1:9" x14ac:dyDescent="0.3">
      <c r="A27" s="22" t="str">
        <f>IF($B$3="","",Parejas!N12)</f>
        <v>Cristo Marrero</v>
      </c>
      <c r="B27" s="23">
        <f>IF($B$3="","",Parejas!O12)</f>
        <v>2</v>
      </c>
      <c r="C27" s="23">
        <f>IF($B$3="","",Parejas!P12)</f>
        <v>0</v>
      </c>
      <c r="D27" s="23">
        <f>IF($B$3="","",Parejas!Q12)</f>
        <v>2</v>
      </c>
      <c r="E27" s="24">
        <f>IF($B$3="","",Parejas!R12)</f>
        <v>0</v>
      </c>
      <c r="F27" s="24"/>
      <c r="G27" s="22" t="str">
        <f>IF($B$3="","",Rivales!A12)</f>
        <v>Carmelo Rosario</v>
      </c>
      <c r="H27" s="23">
        <f>IF($B$3="","",Rivales!B12)</f>
        <v>8</v>
      </c>
      <c r="I27" s="24">
        <f>IF($B$3="","",Rivales!E12)</f>
        <v>0.125</v>
      </c>
    </row>
    <row r="28" spans="1:9" x14ac:dyDescent="0.3">
      <c r="A28" s="22" t="str">
        <f>IF($B$3="","",Parejas!N13)</f>
        <v>Wilfredo Santana</v>
      </c>
      <c r="B28" s="23">
        <f>IF($B$3="","",Parejas!O13)</f>
        <v>1</v>
      </c>
      <c r="C28" s="23">
        <f>IF($B$3="","",Parejas!P13)</f>
        <v>0</v>
      </c>
      <c r="D28" s="23">
        <f>IF($B$3="","",Parejas!Q13)</f>
        <v>1</v>
      </c>
      <c r="E28" s="24">
        <f>IF($B$3="","",Parejas!R13)</f>
        <v>0</v>
      </c>
      <c r="F28" s="24"/>
      <c r="G28" s="22" t="str">
        <f>IF($B$3="","",Rivales!A13)</f>
        <v>Alberto Pulido</v>
      </c>
      <c r="H28" s="23">
        <f>IF($B$3="","",Rivales!B13)</f>
        <v>6</v>
      </c>
      <c r="I28" s="24">
        <f>IF($B$3="","",Rivales!E13)</f>
        <v>0.16666666666666666</v>
      </c>
    </row>
    <row r="29" spans="1:9" x14ac:dyDescent="0.3">
      <c r="A29" s="22" t="str">
        <f>IF($B$3="","",Parejas!N14)</f>
        <v>Nacho Navidad</v>
      </c>
      <c r="B29" s="23">
        <f>IF($B$3="","",Parejas!O14)</f>
        <v>1</v>
      </c>
      <c r="C29" s="23">
        <f>IF($B$3="","",Parejas!P14)</f>
        <v>0</v>
      </c>
      <c r="D29" s="23">
        <f>IF($B$3="","",Parejas!Q14)</f>
        <v>1</v>
      </c>
      <c r="E29" s="24">
        <f>IF($B$3="","",Parejas!R14)</f>
        <v>0</v>
      </c>
      <c r="F29" s="24"/>
      <c r="G29" s="22" t="str">
        <f>IF($B$3="","",Rivales!A14)</f>
        <v>Alberto Nunes</v>
      </c>
      <c r="H29" s="23">
        <f>IF($B$3="","",Rivales!B14)</f>
        <v>6</v>
      </c>
      <c r="I29" s="24">
        <f>IF($B$3="","",Rivales!E14)</f>
        <v>0.16666666666666666</v>
      </c>
    </row>
    <row r="30" spans="1:9" x14ac:dyDescent="0.3">
      <c r="A30" s="22" t="str">
        <f>IF($B$3="","",Parejas!N15)</f>
        <v>Guillermo Medina</v>
      </c>
      <c r="B30" s="23">
        <f>IF($B$3="","",Parejas!O15)</f>
        <v>1</v>
      </c>
      <c r="C30" s="23">
        <f>IF($B$3="","",Parejas!P15)</f>
        <v>0</v>
      </c>
      <c r="D30" s="23">
        <f>IF($B$3="","",Parejas!Q15)</f>
        <v>1</v>
      </c>
      <c r="E30" s="24">
        <f>IF($B$3="","",Parejas!R15)</f>
        <v>0</v>
      </c>
      <c r="F30" s="24"/>
      <c r="G30" s="22" t="str">
        <f>IF($B$3="","",Rivales!A15)</f>
        <v>Javier Bonilla</v>
      </c>
      <c r="H30" s="23">
        <f>IF($B$3="","",Rivales!B15)</f>
        <v>7</v>
      </c>
      <c r="I30" s="24">
        <f>IF($B$3="","",Rivales!E15)</f>
        <v>0.2857142857142857</v>
      </c>
    </row>
    <row r="31" spans="1:9" x14ac:dyDescent="0.3">
      <c r="A31" s="15"/>
      <c r="B31" s="15"/>
      <c r="C31" s="15"/>
      <c r="D31" s="15"/>
      <c r="E31" s="15"/>
      <c r="F31" s="15"/>
      <c r="G31" s="15"/>
      <c r="H31" s="15"/>
      <c r="I31" s="15"/>
    </row>
    <row r="32" spans="1:9" x14ac:dyDescent="0.3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3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3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3">
      <c r="A38" s="15"/>
      <c r="B38" s="15"/>
      <c r="C38" s="15"/>
      <c r="D38" s="15"/>
      <c r="E38" s="15"/>
      <c r="F38" s="15"/>
      <c r="G38" s="15"/>
      <c r="H38" s="15"/>
      <c r="I38" s="15"/>
    </row>
    <row r="39" spans="1:9" x14ac:dyDescent="0.3">
      <c r="A39" s="15"/>
      <c r="B39" s="15"/>
      <c r="C39" s="15"/>
      <c r="D39" s="15"/>
      <c r="E39" s="15"/>
      <c r="F39" s="15"/>
      <c r="G39" s="15"/>
      <c r="H39" s="15"/>
      <c r="I39" s="15"/>
    </row>
    <row r="40" spans="1:9" x14ac:dyDescent="0.3">
      <c r="A40" s="15"/>
      <c r="B40" s="15"/>
      <c r="C40" s="15"/>
      <c r="D40" s="15"/>
      <c r="E40" s="15"/>
      <c r="F40" s="15"/>
      <c r="G40" s="15"/>
      <c r="H40" s="15"/>
      <c r="I40" s="15"/>
    </row>
    <row r="41" spans="1:9" x14ac:dyDescent="0.3">
      <c r="A41" s="15"/>
      <c r="B41" s="15"/>
      <c r="C41" s="15"/>
      <c r="D41" s="15"/>
      <c r="E41" s="15"/>
      <c r="F41" s="15"/>
      <c r="G41" s="15"/>
      <c r="H41" s="15"/>
      <c r="I41" s="15"/>
    </row>
    <row r="42" spans="1:9" x14ac:dyDescent="0.3">
      <c r="A42" s="15"/>
      <c r="B42" s="15"/>
      <c r="C42" s="15"/>
      <c r="D42" s="15"/>
      <c r="E42" s="15"/>
      <c r="F42" s="15"/>
      <c r="G42" s="15"/>
      <c r="H42" s="15"/>
      <c r="I42" s="15"/>
    </row>
    <row r="43" spans="1:9" x14ac:dyDescent="0.3">
      <c r="A43" s="15"/>
      <c r="B43" s="15"/>
      <c r="C43" s="15"/>
      <c r="D43" s="15"/>
      <c r="E43" s="15"/>
      <c r="F43" s="15"/>
      <c r="G43" s="15"/>
      <c r="H43" s="15"/>
      <c r="I43" s="15"/>
    </row>
    <row r="44" spans="1:9" x14ac:dyDescent="0.3">
      <c r="A44" s="15"/>
      <c r="B44" s="15"/>
      <c r="C44" s="15"/>
      <c r="D44" s="15"/>
      <c r="E44" s="15"/>
      <c r="F44" s="15"/>
      <c r="G44" s="15"/>
      <c r="H44" s="15"/>
      <c r="I44" s="15"/>
    </row>
    <row r="45" spans="1:9" x14ac:dyDescent="0.3">
      <c r="A45" s="15"/>
      <c r="B45" s="15"/>
      <c r="C45" s="15"/>
      <c r="D45" s="15"/>
      <c r="E45" s="15"/>
      <c r="F45" s="15"/>
      <c r="G45" s="15"/>
      <c r="H45" s="15"/>
      <c r="I45" s="15"/>
    </row>
    <row r="46" spans="1:9" x14ac:dyDescent="0.3">
      <c r="A46" s="15"/>
      <c r="B46" s="15"/>
      <c r="C46" s="15"/>
      <c r="D46" s="15"/>
      <c r="E46" s="15"/>
      <c r="F46" s="15"/>
      <c r="G46" s="15"/>
      <c r="H46" s="15"/>
      <c r="I46" s="15"/>
    </row>
    <row r="47" spans="1:9" x14ac:dyDescent="0.3">
      <c r="A47" s="15"/>
      <c r="B47" s="15"/>
      <c r="C47" s="15"/>
      <c r="D47" s="15"/>
      <c r="E47" s="15"/>
      <c r="F47" s="15"/>
      <c r="G47" s="15"/>
      <c r="H47" s="15"/>
      <c r="I47" s="15"/>
    </row>
    <row r="48" spans="1:9" x14ac:dyDescent="0.3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3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3">
      <c r="A50" s="15"/>
      <c r="B50" s="15"/>
      <c r="C50" s="15"/>
      <c r="D50" s="15"/>
      <c r="E50" s="15"/>
      <c r="F50" s="15"/>
      <c r="G50" s="15"/>
      <c r="H50" s="15"/>
      <c r="I50" s="15"/>
    </row>
    <row r="51" spans="1:9" x14ac:dyDescent="0.3">
      <c r="A51" s="15"/>
      <c r="B51" s="15"/>
      <c r="C51" s="15"/>
      <c r="D51" s="15"/>
      <c r="E51" s="15"/>
      <c r="F51" s="15"/>
      <c r="G51" s="15"/>
      <c r="H51" s="15"/>
      <c r="I51" s="15"/>
    </row>
    <row r="52" spans="1:9" x14ac:dyDescent="0.3">
      <c r="A52" s="15"/>
      <c r="B52" s="15"/>
      <c r="C52" s="15"/>
      <c r="D52" s="15"/>
      <c r="E52" s="15"/>
      <c r="F52" s="15"/>
      <c r="G52" s="15"/>
      <c r="H52" s="15"/>
      <c r="I52" s="15"/>
    </row>
    <row r="53" spans="1:9" x14ac:dyDescent="0.3">
      <c r="A53" s="15"/>
      <c r="B53" s="15"/>
      <c r="C53" s="15"/>
      <c r="D53" s="15"/>
      <c r="E53" s="15"/>
      <c r="F53" s="15"/>
      <c r="G53" s="15"/>
      <c r="H53" s="15"/>
      <c r="I53" s="15"/>
    </row>
    <row r="54" spans="1:9" x14ac:dyDescent="0.3">
      <c r="A54" s="15"/>
      <c r="B54" s="15"/>
      <c r="C54" s="15"/>
      <c r="D54" s="15"/>
      <c r="E54" s="15"/>
      <c r="F54" s="15"/>
      <c r="G54" s="15"/>
      <c r="H54" s="15"/>
      <c r="I54" s="15"/>
    </row>
    <row r="55" spans="1:9" x14ac:dyDescent="0.3">
      <c r="A55" s="15"/>
      <c r="B55" s="15"/>
      <c r="C55" s="15"/>
      <c r="D55" s="15"/>
      <c r="E55" s="15"/>
      <c r="F55" s="15"/>
      <c r="G55" s="15"/>
      <c r="H55" s="15"/>
      <c r="I55" s="15"/>
    </row>
    <row r="56" spans="1:9" x14ac:dyDescent="0.3">
      <c r="A56" s="15"/>
      <c r="B56" s="15"/>
      <c r="C56" s="15"/>
      <c r="D56" s="15"/>
      <c r="E56" s="15"/>
      <c r="F56" s="15"/>
      <c r="G56" s="15"/>
      <c r="H56" s="15"/>
      <c r="I56" s="15"/>
    </row>
    <row r="57" spans="1:9" x14ac:dyDescent="0.3">
      <c r="A57" s="15"/>
      <c r="B57" s="15"/>
      <c r="C57" s="15"/>
      <c r="D57" s="15"/>
      <c r="E57" s="15"/>
      <c r="F57" s="15"/>
      <c r="G57" s="15"/>
      <c r="H57" s="15"/>
      <c r="I57" s="15"/>
    </row>
    <row r="58" spans="1:9" x14ac:dyDescent="0.3">
      <c r="A58" s="15"/>
      <c r="B58" s="15"/>
      <c r="C58" s="15"/>
      <c r="D58" s="15"/>
      <c r="E58" s="15"/>
      <c r="F58" s="15"/>
      <c r="G58" s="15"/>
      <c r="H58" s="15"/>
      <c r="I58" s="15"/>
    </row>
    <row r="59" spans="1:9" x14ac:dyDescent="0.3">
      <c r="A59" s="15"/>
      <c r="B59" s="15"/>
      <c r="C59" s="15"/>
      <c r="D59" s="15"/>
      <c r="E59" s="15"/>
      <c r="F59" s="15"/>
      <c r="G59" s="15"/>
      <c r="H59" s="15"/>
      <c r="I59" s="15"/>
    </row>
    <row r="60" spans="1:9" x14ac:dyDescent="0.3">
      <c r="A60" s="15"/>
      <c r="B60" s="15"/>
      <c r="C60" s="15"/>
      <c r="D60" s="15"/>
      <c r="E60" s="15"/>
      <c r="F60" s="15"/>
      <c r="G60" s="15"/>
      <c r="H60" s="15"/>
      <c r="I60" s="15"/>
    </row>
    <row r="61" spans="1:9" x14ac:dyDescent="0.3">
      <c r="A61" s="15"/>
      <c r="B61" s="15"/>
      <c r="C61" s="15"/>
      <c r="D61" s="15"/>
      <c r="E61" s="15"/>
      <c r="F61" s="15"/>
      <c r="G61" s="15"/>
      <c r="H61" s="15"/>
      <c r="I61" s="15"/>
    </row>
    <row r="62" spans="1:9" x14ac:dyDescent="0.3">
      <c r="A62" s="15"/>
      <c r="B62" s="15"/>
      <c r="C62" s="15"/>
      <c r="D62" s="15"/>
      <c r="E62" s="15"/>
      <c r="F62" s="15"/>
      <c r="G62" s="15"/>
      <c r="H62" s="15"/>
      <c r="I62" s="15"/>
    </row>
    <row r="63" spans="1:9" x14ac:dyDescent="0.3">
      <c r="A63" s="15"/>
      <c r="B63" s="15"/>
      <c r="C63" s="15"/>
      <c r="D63" s="15"/>
      <c r="E63" s="15"/>
      <c r="F63" s="15"/>
      <c r="G63" s="15"/>
      <c r="H63" s="15"/>
      <c r="I63" s="15"/>
    </row>
    <row r="64" spans="1:9" x14ac:dyDescent="0.3">
      <c r="A64" s="15"/>
      <c r="B64" s="15"/>
      <c r="C64" s="15"/>
      <c r="D64" s="15"/>
      <c r="E64" s="15"/>
      <c r="F64" s="15"/>
      <c r="G64" s="15"/>
      <c r="H64" s="15"/>
      <c r="I64" s="15"/>
    </row>
    <row r="65" spans="1:9" x14ac:dyDescent="0.3">
      <c r="A65" s="15"/>
      <c r="B65" s="15"/>
      <c r="C65" s="15"/>
      <c r="D65" s="15"/>
      <c r="E65" s="15"/>
      <c r="F65" s="15"/>
      <c r="G65" s="15"/>
      <c r="H65" s="15"/>
      <c r="I65" s="15"/>
    </row>
    <row r="66" spans="1:9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x14ac:dyDescent="0.3">
      <c r="A67" s="15"/>
      <c r="B67" s="15"/>
      <c r="C67" s="15"/>
      <c r="D67" s="15"/>
      <c r="E67" s="15"/>
      <c r="F67" s="15"/>
      <c r="G67" s="15"/>
      <c r="H67" s="15"/>
      <c r="I67" s="15"/>
    </row>
    <row r="68" spans="1:9" x14ac:dyDescent="0.3">
      <c r="A68" s="15"/>
      <c r="B68" s="15"/>
      <c r="C68" s="15"/>
      <c r="D68" s="15"/>
      <c r="E68" s="15"/>
      <c r="F68" s="15"/>
      <c r="G68" s="15"/>
      <c r="H68" s="15"/>
      <c r="I68" s="15"/>
    </row>
    <row r="69" spans="1:9" x14ac:dyDescent="0.3">
      <c r="A69" s="15"/>
      <c r="B69" s="15"/>
      <c r="C69" s="15"/>
      <c r="D69" s="15"/>
      <c r="E69" s="15"/>
      <c r="F69" s="15"/>
      <c r="G69" s="15"/>
      <c r="H69" s="15"/>
      <c r="I69" s="15"/>
    </row>
    <row r="70" spans="1:9" x14ac:dyDescent="0.3">
      <c r="A70" s="15"/>
      <c r="B70" s="15"/>
      <c r="C70" s="15"/>
      <c r="D70" s="15"/>
      <c r="E70" s="15"/>
      <c r="F70" s="15"/>
      <c r="G70" s="15"/>
      <c r="H70" s="15"/>
      <c r="I70" s="15"/>
    </row>
    <row r="71" spans="1:9" x14ac:dyDescent="0.3">
      <c r="A71" s="15"/>
      <c r="B71" s="15"/>
      <c r="C71" s="15"/>
      <c r="D71" s="15"/>
      <c r="E71" s="15"/>
      <c r="F71" s="15"/>
      <c r="G71" s="15"/>
      <c r="H71" s="15"/>
      <c r="I71" s="15"/>
    </row>
    <row r="72" spans="1:9" x14ac:dyDescent="0.3">
      <c r="A72" s="15"/>
      <c r="B72" s="15"/>
      <c r="C72" s="15"/>
      <c r="D72" s="15"/>
      <c r="E72" s="15"/>
      <c r="F72" s="15"/>
      <c r="G72" s="15"/>
      <c r="H72" s="15"/>
      <c r="I72" s="15"/>
    </row>
    <row r="73" spans="1:9" x14ac:dyDescent="0.3">
      <c r="A73" s="15"/>
      <c r="B73" s="15"/>
      <c r="C73" s="15"/>
      <c r="D73" s="15"/>
      <c r="E73" s="15"/>
      <c r="F73" s="15"/>
      <c r="G73" s="15"/>
      <c r="H73" s="15"/>
      <c r="I73" s="15"/>
    </row>
    <row r="74" spans="1:9" x14ac:dyDescent="0.3">
      <c r="A74" s="15"/>
      <c r="B74" s="15"/>
      <c r="C74" s="15"/>
      <c r="D74" s="15"/>
      <c r="E74" s="15"/>
      <c r="F74" s="15"/>
      <c r="G74" s="15"/>
      <c r="H74" s="15"/>
      <c r="I74" s="15"/>
    </row>
    <row r="75" spans="1:9" x14ac:dyDescent="0.3">
      <c r="A75" s="15"/>
      <c r="B75" s="15"/>
      <c r="C75" s="15"/>
      <c r="D75" s="15"/>
      <c r="E75" s="15"/>
      <c r="F75" s="15"/>
      <c r="G75" s="15"/>
      <c r="H75" s="15"/>
      <c r="I75" s="15"/>
    </row>
    <row r="76" spans="1:9" x14ac:dyDescent="0.3">
      <c r="A76" s="15"/>
      <c r="B76" s="15"/>
      <c r="C76" s="15"/>
      <c r="D76" s="15"/>
      <c r="E76" s="15"/>
      <c r="F76" s="15"/>
      <c r="G76" s="15"/>
      <c r="H76" s="15"/>
      <c r="I76" s="15"/>
    </row>
    <row r="77" spans="1:9" x14ac:dyDescent="0.3">
      <c r="A77" s="15"/>
      <c r="B77" s="15"/>
      <c r="C77" s="15"/>
      <c r="D77" s="15"/>
      <c r="E77" s="15"/>
      <c r="F77" s="15"/>
      <c r="G77" s="15"/>
      <c r="H77" s="15"/>
      <c r="I77" s="15"/>
    </row>
    <row r="78" spans="1:9" x14ac:dyDescent="0.3">
      <c r="A78" s="15"/>
      <c r="B78" s="15"/>
      <c r="C78" s="15"/>
      <c r="D78" s="15"/>
      <c r="E78" s="15"/>
      <c r="F78" s="15"/>
      <c r="G78" s="15"/>
      <c r="H78" s="15"/>
      <c r="I78" s="15"/>
    </row>
    <row r="79" spans="1:9" x14ac:dyDescent="0.3">
      <c r="A79" s="15"/>
      <c r="B79" s="15"/>
      <c r="C79" s="15"/>
      <c r="D79" s="15"/>
      <c r="E79" s="15"/>
      <c r="F79" s="15"/>
      <c r="G79" s="15"/>
      <c r="H79" s="15"/>
      <c r="I79" s="15"/>
    </row>
  </sheetData>
  <mergeCells count="7">
    <mergeCell ref="A1:I1"/>
    <mergeCell ref="D7:I7"/>
    <mergeCell ref="D8:I8"/>
    <mergeCell ref="D6:I6"/>
    <mergeCell ref="G19:I19"/>
    <mergeCell ref="A5:B5"/>
    <mergeCell ref="A19:E19"/>
  </mergeCells>
  <dataValidations count="1">
    <dataValidation type="list" allowBlank="1" showErrorMessage="1" errorTitle="Jugador no permitido" error="Selecciona un jugador existente en la hoja 'Jugadores'." sqref="B3" xr:uid="{00000000-0002-0000-0700-000000000000}">
      <formula1>PlayersList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pane ySplit="5" topLeftCell="A6" activePane="bottomLeft" state="frozen"/>
      <selection pane="bottomLeft" activeCell="H18" sqref="H18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5" width="6" customWidth="1"/>
    <col min="6" max="6" width="8" customWidth="1"/>
    <col min="7" max="7" width="10" customWidth="1"/>
    <col min="8" max="8" width="44" customWidth="1"/>
  </cols>
  <sheetData>
    <row r="1" spans="1:8" ht="18" x14ac:dyDescent="0.35">
      <c r="A1" s="33" t="s">
        <v>92</v>
      </c>
      <c r="B1" s="31"/>
      <c r="C1" s="31"/>
      <c r="D1" s="31"/>
      <c r="E1" s="31"/>
      <c r="F1" s="31"/>
      <c r="G1" s="31"/>
      <c r="H1" s="31"/>
    </row>
    <row r="3" spans="1:8" x14ac:dyDescent="0.3">
      <c r="A3" t="s">
        <v>48</v>
      </c>
      <c r="B3" s="3" t="s">
        <v>109</v>
      </c>
    </row>
    <row r="5" spans="1:8" ht="22.05" customHeight="1" x14ac:dyDescent="0.3">
      <c r="A5" s="1" t="s">
        <v>47</v>
      </c>
      <c r="B5" s="1" t="s">
        <v>49</v>
      </c>
      <c r="C5" s="1" t="s">
        <v>50</v>
      </c>
      <c r="D5" s="1" t="s">
        <v>51</v>
      </c>
      <c r="E5" s="1" t="s">
        <v>54</v>
      </c>
      <c r="F5" s="1" t="s">
        <v>55</v>
      </c>
      <c r="G5" s="1" t="s">
        <v>62</v>
      </c>
      <c r="H5" s="1" t="s">
        <v>93</v>
      </c>
    </row>
    <row r="6" spans="1:8" ht="70.05" customHeight="1" x14ac:dyDescent="0.3">
      <c r="A6" s="2">
        <f>IF($B$3="","",INDEX(Ranking!$A$2:$A$61,MATCH($B$3,Ranking!$B$2:$B$61,0)))</f>
        <v>4</v>
      </c>
      <c r="B6" s="2">
        <f>IF($B$3="","",INDEX(Ranking!$C$2:$C$61,MATCH($B$3,Ranking!$B$2:$B$61,0)))</f>
        <v>20</v>
      </c>
      <c r="C6" s="2">
        <f>IF($B$3="","",INDEX(Ranking!$D$2:$D$61,MATCH($B$3,Ranking!$B$2:$B$61,0)))</f>
        <v>15</v>
      </c>
      <c r="D6" s="2">
        <f>IF($B$3="","",INDEX(Ranking!$E$2:$E$61,MATCH($B$3,Ranking!$B$2:$B$61,0)))</f>
        <v>5</v>
      </c>
      <c r="E6" s="2">
        <f>IF($B$3="","",INDEX(Ranking!$H$2:$H$61,MATCH($B$3,Ranking!$B$2:$B$61,0)))</f>
        <v>36</v>
      </c>
      <c r="F6" s="2">
        <f>IF($B$3="","",INDEX(Ranking!$I$2:$I$61,MATCH($B$3,Ranking!$B$2:$B$61,0)))</f>
        <v>1.34</v>
      </c>
      <c r="G6" s="2">
        <f>IF($B$3="","",INDEX(Ranking!$J$2:$J$61,MATCH($B$3,Ranking!$B$2:$B$61,0)))</f>
        <v>31.34</v>
      </c>
      <c r="H6" s="7" t="str">
        <f>IF($B$3="","","Jugador: "&amp;$B$3&amp;CHAR(10)&amp;"Liga - Pos "&amp;A6&amp;" | PJ "&amp;B6&amp;" | V "&amp;C6&amp;" | D "&amp;D6&amp;CHAR(10)&amp;"Puntos "&amp;TEXT(G6,"0,00")&amp;" | Bonus "&amp;TEXT(F6,"0,00")&amp;" | Dif "&amp;E6)</f>
        <v>Jugador: Israel Suárez
Liga - Pos 4 | PJ 20 | V 15 | D 5
Puntos 31,34 | Bonus 1,34 | Dif 36</v>
      </c>
    </row>
  </sheetData>
  <mergeCells count="1">
    <mergeCell ref="A1:H1"/>
  </mergeCells>
  <dataValidations count="1">
    <dataValidation type="list" allowBlank="1" showErrorMessage="1" errorTitle="Jugador no permitido" error="Selecciona un jugador existente en la hoja 'Jugadores'." sqref="B3" xr:uid="{00000000-0002-0000-0800-000000000000}">
      <formula1>PlayersList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pane ySplit="3" topLeftCell="A4" activePane="bottomLeft" state="frozen"/>
      <selection pane="bottomLeft" activeCell="L22" sqref="L22"/>
    </sheetView>
  </sheetViews>
  <sheetFormatPr baseColWidth="10" defaultColWidth="8.88671875" defaultRowHeight="14.4" x14ac:dyDescent="0.3"/>
  <cols>
    <col min="1" max="1" width="6" customWidth="1"/>
    <col min="2" max="2" width="20" customWidth="1"/>
    <col min="3" max="5" width="6" customWidth="1"/>
    <col min="6" max="6" width="10" customWidth="1"/>
    <col min="7" max="8" width="8" customWidth="1"/>
    <col min="9" max="9" width="34" customWidth="1"/>
  </cols>
  <sheetData>
    <row r="1" spans="1:9" ht="18" x14ac:dyDescent="0.35">
      <c r="A1" s="33" t="s">
        <v>94</v>
      </c>
      <c r="B1" s="31"/>
      <c r="C1" s="31"/>
      <c r="D1" s="31"/>
      <c r="E1" s="31"/>
      <c r="F1" s="31"/>
      <c r="G1" s="31"/>
      <c r="H1" s="31"/>
    </row>
    <row r="3" spans="1:9" ht="22.05" customHeight="1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62</v>
      </c>
      <c r="G3" s="1" t="s">
        <v>54</v>
      </c>
      <c r="H3" s="1" t="s">
        <v>55</v>
      </c>
      <c r="I3" s="1" t="s">
        <v>95</v>
      </c>
    </row>
    <row r="4" spans="1:9" x14ac:dyDescent="0.3">
      <c r="A4" s="2">
        <v>1</v>
      </c>
      <c r="B4" s="6" t="str">
        <f>IFERROR(INDEX(Ranking!$B$2:$B$61,MATCH($A4,Ranking!$A$2:$A$61,0)),"")</f>
        <v>Carmelo Rosario</v>
      </c>
      <c r="C4" s="2">
        <f>IF($B4="","",INDEX(Ranking!$C$2:$C$61,MATCH($A4,Ranking!$A$2:$A$61,0)))</f>
        <v>35</v>
      </c>
      <c r="D4" s="2">
        <f>IF($B4="","",INDEX(Ranking!$D$2:$D$61,MATCH($A4,Ranking!$A$2:$A$61,0)))</f>
        <v>23</v>
      </c>
      <c r="E4" s="2">
        <f>IF($B4="","",INDEX(Ranking!$E$2:$E$61,MATCH($A4,Ranking!$A$2:$A$61,0)))</f>
        <v>12</v>
      </c>
      <c r="F4" s="2">
        <f>IF($B4="","",INDEX(Ranking!$J$2:$J$61,MATCH($A4,Ranking!$A$2:$A$61,0)))</f>
        <v>48.480000000000004</v>
      </c>
      <c r="G4" s="2">
        <f>IF($B4="","",INDEX(Ranking!$H$2:$H$61,MATCH($A4,Ranking!$A$2:$A$61,0)))</f>
        <v>61</v>
      </c>
      <c r="H4" s="2">
        <f>IF($B4="","",INDEX(Ranking!$I$2:$I$61,MATCH($A4,Ranking!$A$2:$A$61,0)))</f>
        <v>2.4800000000000004</v>
      </c>
      <c r="I4" s="6" t="str">
        <f>IF(B4="","",A4&amp;". "&amp;B4&amp;" - "&amp;TEXT(F4,"0,00")&amp;" pts")</f>
        <v>1. Carmelo Rosario - 48,48 pts</v>
      </c>
    </row>
    <row r="5" spans="1:9" x14ac:dyDescent="0.3">
      <c r="A5" s="2">
        <v>2</v>
      </c>
      <c r="B5" s="6" t="str">
        <f>IFERROR(INDEX(Ranking!$B$2:$B$61,MATCH($A5,Ranking!$A$2:$A$61,0)),"")</f>
        <v>Javier suarez</v>
      </c>
      <c r="C5" s="2">
        <f>IF($B5="","",INDEX(Ranking!$C$2:$C$61,MATCH($A5,Ranking!$A$2:$A$61,0)))</f>
        <v>28</v>
      </c>
      <c r="D5" s="2">
        <f>IF($B5="","",INDEX(Ranking!$D$2:$D$61,MATCH($A5,Ranking!$A$2:$A$61,0)))</f>
        <v>19</v>
      </c>
      <c r="E5" s="2">
        <f>IF($B5="","",INDEX(Ranking!$E$2:$E$61,MATCH($A5,Ranking!$A$2:$A$61,0)))</f>
        <v>9</v>
      </c>
      <c r="F5" s="2">
        <f>IF($B5="","",INDEX(Ranking!$J$2:$J$61,MATCH($A5,Ranking!$A$2:$A$61,0)))</f>
        <v>40.64</v>
      </c>
      <c r="G5" s="2">
        <f>IF($B5="","",INDEX(Ranking!$H$2:$H$61,MATCH($A5,Ranking!$A$2:$A$61,0)))</f>
        <v>100</v>
      </c>
      <c r="H5" s="2">
        <f>IF($B5="","",INDEX(Ranking!$I$2:$I$61,MATCH($A5,Ranking!$A$2:$A$61,0)))</f>
        <v>2.64</v>
      </c>
      <c r="I5" s="6" t="str">
        <f t="shared" ref="I5:I19" si="0">IF(B5="","",A5&amp;". "&amp;B5&amp;" - "&amp;TEXT(F5,"0,00")&amp;" pts")</f>
        <v>2. Javier suarez - 40,64 pts</v>
      </c>
    </row>
    <row r="6" spans="1:9" x14ac:dyDescent="0.3">
      <c r="A6" s="2">
        <v>3</v>
      </c>
      <c r="B6" s="6" t="str">
        <f>IFERROR(INDEX(Ranking!$B$2:$B$61,MATCH($A6,Ranking!$A$2:$A$61,0)),"")</f>
        <v>Javier Bonilla</v>
      </c>
      <c r="C6" s="2">
        <f>IF($B6="","",INDEX(Ranking!$C$2:$C$61,MATCH($A6,Ranking!$A$2:$A$61,0)))</f>
        <v>29</v>
      </c>
      <c r="D6" s="2">
        <f>IF($B6="","",INDEX(Ranking!$D$2:$D$61,MATCH($A6,Ranking!$A$2:$A$61,0)))</f>
        <v>17</v>
      </c>
      <c r="E6" s="2">
        <f>IF($B6="","",INDEX(Ranking!$E$2:$E$61,MATCH($A6,Ranking!$A$2:$A$61,0)))</f>
        <v>12</v>
      </c>
      <c r="F6" s="2">
        <f>IF($B6="","",INDEX(Ranking!$J$2:$J$61,MATCH($A6,Ranking!$A$2:$A$61,0)))</f>
        <v>35.6</v>
      </c>
      <c r="G6" s="2">
        <f>IF($B6="","",INDEX(Ranking!$H$2:$H$61,MATCH($A6,Ranking!$A$2:$A$61,0)))</f>
        <v>4</v>
      </c>
      <c r="H6" s="2">
        <f>IF($B6="","",INDEX(Ranking!$I$2:$I$61,MATCH($A6,Ranking!$A$2:$A$61,0)))</f>
        <v>1.6</v>
      </c>
      <c r="I6" s="6" t="str">
        <f t="shared" si="0"/>
        <v>3. Javier Bonilla - 35,60 pts</v>
      </c>
    </row>
    <row r="7" spans="1:9" x14ac:dyDescent="0.3">
      <c r="A7" s="2">
        <v>4</v>
      </c>
      <c r="B7" s="6" t="str">
        <f>IFERROR(INDEX(Ranking!$B$2:$B$61,MATCH($A7,Ranking!$A$2:$A$61,0)),"")</f>
        <v>Israel Suárez</v>
      </c>
      <c r="C7" s="2">
        <f>IF($B7="","",INDEX(Ranking!$C$2:$C$61,MATCH($A7,Ranking!$A$2:$A$61,0)))</f>
        <v>20</v>
      </c>
      <c r="D7" s="2">
        <f>IF($B7="","",INDEX(Ranking!$D$2:$D$61,MATCH($A7,Ranking!$A$2:$A$61,0)))</f>
        <v>15</v>
      </c>
      <c r="E7" s="2">
        <f>IF($B7="","",INDEX(Ranking!$E$2:$E$61,MATCH($A7,Ranking!$A$2:$A$61,0)))</f>
        <v>5</v>
      </c>
      <c r="F7" s="2">
        <f>IF($B7="","",INDEX(Ranking!$J$2:$J$61,MATCH($A7,Ranking!$A$2:$A$61,0)))</f>
        <v>31.34</v>
      </c>
      <c r="G7" s="2">
        <f>IF($B7="","",INDEX(Ranking!$H$2:$H$61,MATCH($A7,Ranking!$A$2:$A$61,0)))</f>
        <v>36</v>
      </c>
      <c r="H7" s="2">
        <f>IF($B7="","",INDEX(Ranking!$I$2:$I$61,MATCH($A7,Ranking!$A$2:$A$61,0)))</f>
        <v>1.34</v>
      </c>
      <c r="I7" s="6" t="str">
        <f t="shared" si="0"/>
        <v>4. Israel Suárez - 31,34 pts</v>
      </c>
    </row>
    <row r="8" spans="1:9" x14ac:dyDescent="0.3">
      <c r="A8" s="2">
        <v>5</v>
      </c>
      <c r="B8" s="6" t="str">
        <f>IFERROR(INDEX(Ranking!$B$2:$B$61,MATCH($A8,Ranking!$A$2:$A$61,0)),"")</f>
        <v>Imobach González</v>
      </c>
      <c r="C8" s="2">
        <f>IF($B8="","",INDEX(Ranking!$C$2:$C$61,MATCH($A8,Ranking!$A$2:$A$61,0)))</f>
        <v>26</v>
      </c>
      <c r="D8" s="2">
        <f>IF($B8="","",INDEX(Ranking!$D$2:$D$61,MATCH($A8,Ranking!$A$2:$A$61,0)))</f>
        <v>14</v>
      </c>
      <c r="E8" s="2">
        <f>IF($B8="","",INDEX(Ranking!$E$2:$E$61,MATCH($A8,Ranking!$A$2:$A$61,0)))</f>
        <v>12</v>
      </c>
      <c r="F8" s="2">
        <f>IF($B8="","",INDEX(Ranking!$J$2:$J$61,MATCH($A8,Ranking!$A$2:$A$61,0)))</f>
        <v>29.72</v>
      </c>
      <c r="G8" s="2">
        <f>IF($B8="","",INDEX(Ranking!$H$2:$H$61,MATCH($A8,Ranking!$A$2:$A$61,0)))</f>
        <v>23</v>
      </c>
      <c r="H8" s="2">
        <f>IF($B8="","",INDEX(Ranking!$I$2:$I$61,MATCH($A8,Ranking!$A$2:$A$61,0)))</f>
        <v>1.7200000000000002</v>
      </c>
      <c r="I8" s="6" t="str">
        <f t="shared" si="0"/>
        <v>5. Imobach González - 29,72 pts</v>
      </c>
    </row>
    <row r="9" spans="1:9" x14ac:dyDescent="0.3">
      <c r="A9" s="2">
        <v>6</v>
      </c>
      <c r="B9" s="6" t="str">
        <f>IFERROR(INDEX(Ranking!$B$2:$B$61,MATCH($A9,Ranking!$A$2:$A$61,0)),"")</f>
        <v>Guillermo Medina</v>
      </c>
      <c r="C9" s="2">
        <f>IF($B9="","",INDEX(Ranking!$C$2:$C$61,MATCH($A9,Ranking!$A$2:$A$61,0)))</f>
        <v>20</v>
      </c>
      <c r="D9" s="2">
        <f>IF($B9="","",INDEX(Ranking!$D$2:$D$61,MATCH($A9,Ranking!$A$2:$A$61,0)))</f>
        <v>9</v>
      </c>
      <c r="E9" s="2">
        <f>IF($B9="","",INDEX(Ranking!$E$2:$E$61,MATCH($A9,Ranking!$A$2:$A$61,0)))</f>
        <v>11</v>
      </c>
      <c r="F9" s="2">
        <f>IF($B9="","",INDEX(Ranking!$J$2:$J$61,MATCH($A9,Ranking!$A$2:$A$61,0)))</f>
        <v>19</v>
      </c>
      <c r="G9" s="2">
        <f>IF($B9="","",INDEX(Ranking!$H$2:$H$61,MATCH($A9,Ranking!$A$2:$A$61,0)))</f>
        <v>-21</v>
      </c>
      <c r="H9" s="2">
        <f>IF($B9="","",INDEX(Ranking!$I$2:$I$61,MATCH($A9,Ranking!$A$2:$A$61,0)))</f>
        <v>1</v>
      </c>
      <c r="I9" s="6" t="str">
        <f t="shared" si="0"/>
        <v>6. Guillermo Medina - 19,00 pts</v>
      </c>
    </row>
    <row r="10" spans="1:9" x14ac:dyDescent="0.3">
      <c r="A10" s="2">
        <v>7</v>
      </c>
      <c r="B10" s="6" t="str">
        <f>IFERROR(INDEX(Ranking!$B$2:$B$61,MATCH($A10,Ranking!$A$2:$A$61,0)),"")</f>
        <v>Nacho Navidad</v>
      </c>
      <c r="C10" s="2">
        <f>IF($B10="","",INDEX(Ranking!$C$2:$C$61,MATCH($A10,Ranking!$A$2:$A$61,0)))</f>
        <v>25</v>
      </c>
      <c r="D10" s="2">
        <f>IF($B10="","",INDEX(Ranking!$D$2:$D$61,MATCH($A10,Ranking!$A$2:$A$61,0)))</f>
        <v>8</v>
      </c>
      <c r="E10" s="2">
        <f>IF($B10="","",INDEX(Ranking!$E$2:$E$61,MATCH($A10,Ranking!$A$2:$A$61,0)))</f>
        <v>17</v>
      </c>
      <c r="F10" s="2">
        <f>IF($B10="","",INDEX(Ranking!$J$2:$J$61,MATCH($A10,Ranking!$A$2:$A$61,0)))</f>
        <v>16.899999999999999</v>
      </c>
      <c r="G10" s="2">
        <f>IF($B10="","",INDEX(Ranking!$H$2:$H$61,MATCH($A10,Ranking!$A$2:$A$61,0)))</f>
        <v>-49</v>
      </c>
      <c r="H10" s="2">
        <f>IF($B10="","",INDEX(Ranking!$I$2:$I$61,MATCH($A10,Ranking!$A$2:$A$61,0)))</f>
        <v>0.9</v>
      </c>
      <c r="I10" s="6" t="str">
        <f t="shared" si="0"/>
        <v>7. Nacho Navidad - 16,90 pts</v>
      </c>
    </row>
    <row r="11" spans="1:9" x14ac:dyDescent="0.3">
      <c r="A11" s="2">
        <v>8</v>
      </c>
      <c r="B11" s="6" t="str">
        <f>IFERROR(INDEX(Ranking!$B$2:$B$61,MATCH($A11,Ranking!$A$2:$A$61,0)),"")</f>
        <v>Alberto Pulido</v>
      </c>
      <c r="C11" s="2">
        <f>IF($B11="","",INDEX(Ranking!$C$2:$C$61,MATCH($A11,Ranking!$A$2:$A$61,0)))</f>
        <v>14</v>
      </c>
      <c r="D11" s="2">
        <f>IF($B11="","",INDEX(Ranking!$D$2:$D$61,MATCH($A11,Ranking!$A$2:$A$61,0)))</f>
        <v>7</v>
      </c>
      <c r="E11" s="2">
        <f>IF($B11="","",INDEX(Ranking!$E$2:$E$61,MATCH($A11,Ranking!$A$2:$A$61,0)))</f>
        <v>7</v>
      </c>
      <c r="F11" s="2">
        <f>IF($B11="","",INDEX(Ranking!$J$2:$J$61,MATCH($A11,Ranking!$A$2:$A$61,0)))</f>
        <v>14.84</v>
      </c>
      <c r="G11" s="2">
        <f>IF($B11="","",INDEX(Ranking!$H$2:$H$61,MATCH($A11,Ranking!$A$2:$A$61,0)))</f>
        <v>4</v>
      </c>
      <c r="H11" s="2">
        <f>IF($B11="","",INDEX(Ranking!$I$2:$I$61,MATCH($A11,Ranking!$A$2:$A$61,0)))</f>
        <v>0.84000000000000008</v>
      </c>
      <c r="I11" s="6" t="str">
        <f t="shared" si="0"/>
        <v>8. Alberto Pulido - 14,84 pts</v>
      </c>
    </row>
    <row r="12" spans="1:9" x14ac:dyDescent="0.3">
      <c r="A12" s="2">
        <v>9</v>
      </c>
      <c r="B12" s="6" t="str">
        <f>IFERROR(INDEX(Ranking!$B$2:$B$61,MATCH($A12,Ranking!$A$2:$A$61,0)),"")</f>
        <v>Eva Pulido</v>
      </c>
      <c r="C12" s="2">
        <f>IF($B12="","",INDEX(Ranking!$C$2:$C$61,MATCH($A12,Ranking!$A$2:$A$61,0)))</f>
        <v>18</v>
      </c>
      <c r="D12" s="2">
        <f>IF($B12="","",INDEX(Ranking!$D$2:$D$61,MATCH($A12,Ranking!$A$2:$A$61,0)))</f>
        <v>7</v>
      </c>
      <c r="E12" s="2">
        <f>IF($B12="","",INDEX(Ranking!$E$2:$E$61,MATCH($A12,Ranking!$A$2:$A$61,0)))</f>
        <v>11</v>
      </c>
      <c r="F12" s="2">
        <f>IF($B12="","",INDEX(Ranking!$J$2:$J$61,MATCH($A12,Ranking!$A$2:$A$61,0)))</f>
        <v>14.72</v>
      </c>
      <c r="G12" s="2">
        <f>IF($B12="","",INDEX(Ranking!$H$2:$H$61,MATCH($A12,Ranking!$A$2:$A$61,0)))</f>
        <v>-27</v>
      </c>
      <c r="H12" s="2">
        <f>IF($B12="","",INDEX(Ranking!$I$2:$I$61,MATCH($A12,Ranking!$A$2:$A$61,0)))</f>
        <v>0.72000000000000008</v>
      </c>
      <c r="I12" s="6" t="str">
        <f t="shared" si="0"/>
        <v>9. Eva Pulido - 14,72 pts</v>
      </c>
    </row>
    <row r="13" spans="1:9" x14ac:dyDescent="0.3">
      <c r="A13" s="2">
        <v>10</v>
      </c>
      <c r="B13" s="6" t="str">
        <f>IFERROR(INDEX(Ranking!$B$2:$B$61,MATCH($A13,Ranking!$A$2:$A$61,0)),"")</f>
        <v>Alberto Nunes</v>
      </c>
      <c r="C13" s="2">
        <f>IF($B13="","",INDEX(Ranking!$C$2:$C$61,MATCH($A13,Ranking!$A$2:$A$61,0)))</f>
        <v>16</v>
      </c>
      <c r="D13" s="2">
        <f>IF($B13="","",INDEX(Ranking!$D$2:$D$61,MATCH($A13,Ranking!$A$2:$A$61,0)))</f>
        <v>6</v>
      </c>
      <c r="E13" s="2">
        <f>IF($B13="","",INDEX(Ranking!$E$2:$E$61,MATCH($A13,Ranking!$A$2:$A$61,0)))</f>
        <v>10</v>
      </c>
      <c r="F13" s="2">
        <f>IF($B13="","",INDEX(Ranking!$J$2:$J$61,MATCH($A13,Ranking!$A$2:$A$61,0)))</f>
        <v>12.72</v>
      </c>
      <c r="G13" s="2">
        <f>IF($B13="","",INDEX(Ranking!$H$2:$H$61,MATCH($A13,Ranking!$A$2:$A$61,0)))</f>
        <v>-24</v>
      </c>
      <c r="H13" s="2">
        <f>IF($B13="","",INDEX(Ranking!$I$2:$I$61,MATCH($A13,Ranking!$A$2:$A$61,0)))</f>
        <v>0.72</v>
      </c>
      <c r="I13" s="6" t="str">
        <f t="shared" si="0"/>
        <v>10. Alberto Nunes - 12,72 pts</v>
      </c>
    </row>
    <row r="14" spans="1:9" x14ac:dyDescent="0.3">
      <c r="A14" s="2">
        <v>11</v>
      </c>
      <c r="B14" s="6" t="str">
        <f>IFERROR(INDEX(Ranking!$B$2:$B$61,MATCH($A14,Ranking!$A$2:$A$61,0)),"")</f>
        <v>Yeray Armas</v>
      </c>
      <c r="C14" s="2">
        <f>IF($B14="","",INDEX(Ranking!$C$2:$C$61,MATCH($A14,Ranking!$A$2:$A$61,0)))</f>
        <v>32</v>
      </c>
      <c r="D14" s="2">
        <f>IF($B14="","",INDEX(Ranking!$D$2:$D$61,MATCH($A14,Ranking!$A$2:$A$61,0)))</f>
        <v>6</v>
      </c>
      <c r="E14" s="2">
        <f>IF($B14="","",INDEX(Ranking!$E$2:$E$61,MATCH($A14,Ranking!$A$2:$A$61,0)))</f>
        <v>26</v>
      </c>
      <c r="F14" s="2">
        <f>IF($B14="","",INDEX(Ranking!$J$2:$J$61,MATCH($A14,Ranking!$A$2:$A$61,0)))</f>
        <v>12.42</v>
      </c>
      <c r="G14" s="2">
        <f>IF($B14="","",INDEX(Ranking!$H$2:$H$61,MATCH($A14,Ranking!$A$2:$A$61,0)))</f>
        <v>-133</v>
      </c>
      <c r="H14" s="2">
        <f>IF($B14="","",INDEX(Ranking!$I$2:$I$61,MATCH($A14,Ranking!$A$2:$A$61,0)))</f>
        <v>0.42</v>
      </c>
      <c r="I14" s="6" t="str">
        <f t="shared" si="0"/>
        <v>11. Yeray Armas - 12,42 pts</v>
      </c>
    </row>
    <row r="15" spans="1:9" x14ac:dyDescent="0.3">
      <c r="A15" s="2">
        <v>12</v>
      </c>
      <c r="B15" s="6" t="str">
        <f>IFERROR(INDEX(Ranking!$B$2:$B$61,MATCH($A15,Ranking!$A$2:$A$61,0)),"")</f>
        <v>Cristo Marrero</v>
      </c>
      <c r="C15" s="2">
        <f>IF($B15="","",INDEX(Ranking!$C$2:$C$61,MATCH($A15,Ranking!$A$2:$A$61,0)))</f>
        <v>11</v>
      </c>
      <c r="D15" s="2">
        <f>IF($B15="","",INDEX(Ranking!$D$2:$D$61,MATCH($A15,Ranking!$A$2:$A$61,0)))</f>
        <v>5</v>
      </c>
      <c r="E15" s="2">
        <f>IF($B15="","",INDEX(Ranking!$E$2:$E$61,MATCH($A15,Ranking!$A$2:$A$61,0)))</f>
        <v>6</v>
      </c>
      <c r="F15" s="2">
        <f>IF($B15="","",INDEX(Ranking!$J$2:$J$61,MATCH($A15,Ranking!$A$2:$A$61,0)))</f>
        <v>10.66</v>
      </c>
      <c r="G15" s="2">
        <f>IF($B15="","",INDEX(Ranking!$H$2:$H$61,MATCH($A15,Ranking!$A$2:$A$61,0)))</f>
        <v>1</v>
      </c>
      <c r="H15" s="2">
        <f>IF($B15="","",INDEX(Ranking!$I$2:$I$61,MATCH($A15,Ranking!$A$2:$A$61,0)))</f>
        <v>0.66</v>
      </c>
      <c r="I15" s="6" t="str">
        <f t="shared" si="0"/>
        <v>12. Cristo Marrero - 10,66 pts</v>
      </c>
    </row>
    <row r="16" spans="1:9" x14ac:dyDescent="0.3">
      <c r="A16" s="2">
        <v>13</v>
      </c>
      <c r="B16" s="6" t="str">
        <f>IFERROR(INDEX(Ranking!$B$2:$B$61,MATCH($A16,Ranking!$A$2:$A$61,0)),"")</f>
        <v>César Morales</v>
      </c>
      <c r="C16" s="2">
        <f>IF($B16="","",INDEX(Ranking!$C$2:$C$61,MATCH($A16,Ranking!$A$2:$A$61,0)))</f>
        <v>6</v>
      </c>
      <c r="D16" s="2">
        <f>IF($B16="","",INDEX(Ranking!$D$2:$D$61,MATCH($A16,Ranking!$A$2:$A$61,0)))</f>
        <v>4</v>
      </c>
      <c r="E16" s="2">
        <f>IF($B16="","",INDEX(Ranking!$E$2:$E$61,MATCH($A16,Ranking!$A$2:$A$61,0)))</f>
        <v>2</v>
      </c>
      <c r="F16" s="2">
        <f>IF($B16="","",INDEX(Ranking!$J$2:$J$61,MATCH($A16,Ranking!$A$2:$A$61,0)))</f>
        <v>8.6</v>
      </c>
      <c r="G16" s="2">
        <f>IF($B16="","",INDEX(Ranking!$H$2:$H$61,MATCH($A16,Ranking!$A$2:$A$61,0)))</f>
        <v>20</v>
      </c>
      <c r="H16" s="2">
        <f>IF($B16="","",INDEX(Ranking!$I$2:$I$61,MATCH($A16,Ranking!$A$2:$A$61,0)))</f>
        <v>0.60000000000000009</v>
      </c>
      <c r="I16" s="6" t="str">
        <f t="shared" si="0"/>
        <v>13. César Morales - 8,60 pts</v>
      </c>
    </row>
    <row r="17" spans="1:9" x14ac:dyDescent="0.3">
      <c r="A17" s="2">
        <v>14</v>
      </c>
      <c r="B17" s="6" t="str">
        <f>IFERROR(INDEX(Ranking!$B$2:$B$61,MATCH($A17,Ranking!$A$2:$A$61,0)),"")</f>
        <v>José López</v>
      </c>
      <c r="C17" s="2">
        <f>IF($B17="","",INDEX(Ranking!$C$2:$C$61,MATCH($A17,Ranking!$A$2:$A$61,0)))</f>
        <v>4</v>
      </c>
      <c r="D17" s="2">
        <f>IF($B17="","",INDEX(Ranking!$D$2:$D$61,MATCH($A17,Ranking!$A$2:$A$61,0)))</f>
        <v>4</v>
      </c>
      <c r="E17" s="2">
        <f>IF($B17="","",INDEX(Ranking!$E$2:$E$61,MATCH($A17,Ranking!$A$2:$A$61,0)))</f>
        <v>0</v>
      </c>
      <c r="F17" s="2">
        <f>IF($B17="","",INDEX(Ranking!$J$2:$J$61,MATCH($A17,Ranking!$A$2:$A$61,0)))</f>
        <v>8.5</v>
      </c>
      <c r="G17" s="2">
        <f>IF($B17="","",INDEX(Ranking!$H$2:$H$61,MATCH($A17,Ranking!$A$2:$A$61,0)))</f>
        <v>25</v>
      </c>
      <c r="H17" s="2">
        <f>IF($B17="","",INDEX(Ranking!$I$2:$I$61,MATCH($A17,Ranking!$A$2:$A$61,0)))</f>
        <v>0.5</v>
      </c>
      <c r="I17" s="6" t="str">
        <f t="shared" si="0"/>
        <v>14. José López - 8,50 pts</v>
      </c>
    </row>
    <row r="18" spans="1:9" x14ac:dyDescent="0.3">
      <c r="A18" s="2">
        <v>15</v>
      </c>
      <c r="B18" s="6" t="str">
        <f>IFERROR(INDEX(Ranking!$B$2:$B$61,MATCH($A18,Ranking!$A$2:$A$61,0)),"")</f>
        <v>Wilfredo Santana</v>
      </c>
      <c r="C18" s="2">
        <f>IF($B18="","",INDEX(Ranking!$C$2:$C$61,MATCH($A18,Ranking!$A$2:$A$61,0)))</f>
        <v>6</v>
      </c>
      <c r="D18" s="2">
        <f>IF($B18="","",INDEX(Ranking!$D$2:$D$61,MATCH($A18,Ranking!$A$2:$A$61,0)))</f>
        <v>1</v>
      </c>
      <c r="E18" s="2">
        <f>IF($B18="","",INDEX(Ranking!$E$2:$E$61,MATCH($A18,Ranking!$A$2:$A$61,0)))</f>
        <v>5</v>
      </c>
      <c r="F18" s="2">
        <f>IF($B18="","",INDEX(Ranking!$J$2:$J$61,MATCH($A18,Ranking!$A$2:$A$61,0)))</f>
        <v>2.14</v>
      </c>
      <c r="G18" s="2">
        <f>IF($B18="","",INDEX(Ranking!$H$2:$H$61,MATCH($A18,Ranking!$A$2:$A$61,0)))</f>
        <v>-19</v>
      </c>
      <c r="H18" s="2">
        <f>IF($B18="","",INDEX(Ranking!$I$2:$I$61,MATCH($A18,Ranking!$A$2:$A$61,0)))</f>
        <v>0.14000000000000001</v>
      </c>
      <c r="I18" s="6" t="str">
        <f t="shared" si="0"/>
        <v>15. Wilfredo Santana - 2,14 pts</v>
      </c>
    </row>
    <row r="19" spans="1:9" x14ac:dyDescent="0.3">
      <c r="A19" s="2">
        <v>16</v>
      </c>
      <c r="B19" s="6" t="str">
        <f>IFERROR(INDEX(Ranking!$B$2:$B$61,MATCH($A19,Ranking!$A$2:$A$61,0)),"")</f>
        <v>José Fernando</v>
      </c>
      <c r="C19" s="2">
        <f>IF($B19="","",INDEX(Ranking!$C$2:$C$61,MATCH($A19,Ranking!$A$2:$A$61,0)))</f>
        <v>2</v>
      </c>
      <c r="D19" s="2">
        <f>IF($B19="","",INDEX(Ranking!$D$2:$D$61,MATCH($A19,Ranking!$A$2:$A$61,0)))</f>
        <v>1</v>
      </c>
      <c r="E19" s="2">
        <f>IF($B19="","",INDEX(Ranking!$E$2:$E$61,MATCH($A19,Ranking!$A$2:$A$61,0)))</f>
        <v>1</v>
      </c>
      <c r="F19" s="2">
        <f>IF($B19="","",INDEX(Ranking!$J$2:$J$61,MATCH($A19,Ranking!$A$2:$A$61,0)))</f>
        <v>2.08</v>
      </c>
      <c r="G19" s="2">
        <f>IF($B19="","",INDEX(Ranking!$H$2:$H$61,MATCH($A19,Ranking!$A$2:$A$61,0)))</f>
        <v>-1</v>
      </c>
      <c r="H19" s="2">
        <f>IF($B19="","",INDEX(Ranking!$I$2:$I$61,MATCH($A19,Ranking!$A$2:$A$61,0)))</f>
        <v>0.08</v>
      </c>
      <c r="I19" s="6" t="str">
        <f t="shared" si="0"/>
        <v>16. José Fernando - 2,08 pts</v>
      </c>
    </row>
    <row r="20" spans="1:9" x14ac:dyDescent="0.3">
      <c r="A20" s="2">
        <v>17</v>
      </c>
      <c r="B20" s="6" t="str">
        <f>IFERROR(INDEX(Ranking!$B$2:$B$61,MATCH($A20,Ranking!$A$2:$A$61,0)),"")</f>
        <v/>
      </c>
      <c r="C20" s="2" t="str">
        <f>IF($B20="","",INDEX(Ranking!$C$2:$C$61,MATCH($A20,Ranking!$A$2:$A$61,0)))</f>
        <v/>
      </c>
      <c r="D20" s="2" t="str">
        <f>IF($B20="","",INDEX(Ranking!$D$2:$D$61,MATCH($A20,Ranking!$A$2:$A$61,0)))</f>
        <v/>
      </c>
      <c r="E20" s="2" t="str">
        <f>IF($B20="","",INDEX(Ranking!$E$2:$E$61,MATCH($A20,Ranking!$A$2:$A$61,0)))</f>
        <v/>
      </c>
      <c r="F20" s="2" t="str">
        <f>IF($B20="","",INDEX(Ranking!$J$2:$J$61,MATCH($A20,Ranking!$A$2:$A$61,0)))</f>
        <v/>
      </c>
      <c r="G20" s="2" t="str">
        <f>IF($B20="","",INDEX(Ranking!$H$2:$H$61,MATCH($A20,Ranking!$A$2:$A$61,0)))</f>
        <v/>
      </c>
      <c r="H20" s="2" t="str">
        <f>IF($B20="","",INDEX(Ranking!$I$2:$I$61,MATCH($A20,Ranking!$A$2:$A$61,0)))</f>
        <v/>
      </c>
      <c r="I20" s="6" t="str">
        <f t="shared" ref="I20:I23" si="1">IF(B20="","",A20&amp;". "&amp;B20&amp;" - "&amp;TEXT(F20,"0.00")&amp;" pts")</f>
        <v/>
      </c>
    </row>
    <row r="21" spans="1:9" x14ac:dyDescent="0.3">
      <c r="A21" s="2">
        <v>18</v>
      </c>
      <c r="B21" s="6" t="str">
        <f>IFERROR(INDEX(Ranking!$B$2:$B$61,MATCH($A21,Ranking!$A$2:$A$61,0)),"")</f>
        <v/>
      </c>
      <c r="C21" s="2" t="str">
        <f>IF($B21="","",INDEX(Ranking!$C$2:$C$61,MATCH($A21,Ranking!$A$2:$A$61,0)))</f>
        <v/>
      </c>
      <c r="D21" s="2" t="str">
        <f>IF($B21="","",INDEX(Ranking!$D$2:$D$61,MATCH($A21,Ranking!$A$2:$A$61,0)))</f>
        <v/>
      </c>
      <c r="E21" s="2" t="str">
        <f>IF($B21="","",INDEX(Ranking!$E$2:$E$61,MATCH($A21,Ranking!$A$2:$A$61,0)))</f>
        <v/>
      </c>
      <c r="F21" s="2" t="str">
        <f>IF($B21="","",INDEX(Ranking!$J$2:$J$61,MATCH($A21,Ranking!$A$2:$A$61,0)))</f>
        <v/>
      </c>
      <c r="G21" s="2" t="str">
        <f>IF($B21="","",INDEX(Ranking!$H$2:$H$61,MATCH($A21,Ranking!$A$2:$A$61,0)))</f>
        <v/>
      </c>
      <c r="H21" s="2" t="str">
        <f>IF($B21="","",INDEX(Ranking!$I$2:$I$61,MATCH($A21,Ranking!$A$2:$A$61,0)))</f>
        <v/>
      </c>
      <c r="I21" s="6" t="str">
        <f t="shared" si="1"/>
        <v/>
      </c>
    </row>
    <row r="22" spans="1:9" x14ac:dyDescent="0.3">
      <c r="A22" s="2">
        <v>19</v>
      </c>
      <c r="B22" s="6" t="str">
        <f>IFERROR(INDEX(Ranking!$B$2:$B$61,MATCH($A22,Ranking!$A$2:$A$61,0)),"")</f>
        <v/>
      </c>
      <c r="C22" s="2" t="str">
        <f>IF($B22="","",INDEX(Ranking!$C$2:$C$61,MATCH($A22,Ranking!$A$2:$A$61,0)))</f>
        <v/>
      </c>
      <c r="D22" s="2" t="str">
        <f>IF($B22="","",INDEX(Ranking!$D$2:$D$61,MATCH($A22,Ranking!$A$2:$A$61,0)))</f>
        <v/>
      </c>
      <c r="E22" s="2" t="str">
        <f>IF($B22="","",INDEX(Ranking!$E$2:$E$61,MATCH($A22,Ranking!$A$2:$A$61,0)))</f>
        <v/>
      </c>
      <c r="F22" s="2" t="str">
        <f>IF($B22="","",INDEX(Ranking!$J$2:$J$61,MATCH($A22,Ranking!$A$2:$A$61,0)))</f>
        <v/>
      </c>
      <c r="G22" s="2" t="str">
        <f>IF($B22="","",INDEX(Ranking!$H$2:$H$61,MATCH($A22,Ranking!$A$2:$A$61,0)))</f>
        <v/>
      </c>
      <c r="H22" s="2" t="str">
        <f>IF($B22="","",INDEX(Ranking!$I$2:$I$61,MATCH($A22,Ranking!$A$2:$A$61,0)))</f>
        <v/>
      </c>
      <c r="I22" s="6" t="str">
        <f t="shared" si="1"/>
        <v/>
      </c>
    </row>
    <row r="23" spans="1:9" x14ac:dyDescent="0.3">
      <c r="A23" s="2">
        <v>20</v>
      </c>
      <c r="B23" s="6" t="str">
        <f>IFERROR(INDEX(Ranking!$B$2:$B$61,MATCH($A23,Ranking!$A$2:$A$61,0)),"")</f>
        <v/>
      </c>
      <c r="C23" s="2" t="str">
        <f>IF($B23="","",INDEX(Ranking!$C$2:$C$61,MATCH($A23,Ranking!$A$2:$A$61,0)))</f>
        <v/>
      </c>
      <c r="D23" s="2" t="str">
        <f>IF($B23="","",INDEX(Ranking!$D$2:$D$61,MATCH($A23,Ranking!$A$2:$A$61,0)))</f>
        <v/>
      </c>
      <c r="E23" s="2" t="str">
        <f>IF($B23="","",INDEX(Ranking!$E$2:$E$61,MATCH($A23,Ranking!$A$2:$A$61,0)))</f>
        <v/>
      </c>
      <c r="F23" s="2" t="str">
        <f>IF($B23="","",INDEX(Ranking!$J$2:$J$61,MATCH($A23,Ranking!$A$2:$A$61,0)))</f>
        <v/>
      </c>
      <c r="G23" s="2" t="str">
        <f>IF($B23="","",INDEX(Ranking!$H$2:$H$61,MATCH($A23,Ranking!$A$2:$A$61,0)))</f>
        <v/>
      </c>
      <c r="H23" s="2" t="str">
        <f>IF($B23="","",INDEX(Ranking!$I$2:$I$61,MATCH($A23,Ranking!$A$2:$A$61,0)))</f>
        <v/>
      </c>
      <c r="I23" s="6" t="str">
        <f t="shared" si="1"/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>
      <pane ySplit="5" topLeftCell="A6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26" customWidth="1"/>
    <col min="2" max="2" width="24" customWidth="1"/>
    <col min="3" max="3" width="4" customWidth="1"/>
    <col min="4" max="4" width="16" customWidth="1"/>
    <col min="5" max="5" width="14" customWidth="1"/>
    <col min="6" max="8" width="4" customWidth="1"/>
  </cols>
  <sheetData>
    <row r="1" spans="1:8" ht="18" x14ac:dyDescent="0.35">
      <c r="A1" s="33" t="s">
        <v>96</v>
      </c>
      <c r="B1" s="31"/>
      <c r="C1" s="31"/>
      <c r="D1" s="31"/>
      <c r="E1" s="31"/>
      <c r="F1" s="31"/>
      <c r="G1" s="31"/>
      <c r="H1" s="31"/>
    </row>
    <row r="3" spans="1:8" x14ac:dyDescent="0.3">
      <c r="A3" t="s">
        <v>15</v>
      </c>
      <c r="B3" s="3"/>
    </row>
    <row r="4" spans="1:8" x14ac:dyDescent="0.3">
      <c r="A4" t="s">
        <v>16</v>
      </c>
      <c r="B4" s="3" t="s">
        <v>41</v>
      </c>
    </row>
    <row r="5" spans="1:8" x14ac:dyDescent="0.3">
      <c r="D5" s="1" t="s">
        <v>47</v>
      </c>
      <c r="E5" s="1" t="s">
        <v>62</v>
      </c>
    </row>
    <row r="6" spans="1:8" x14ac:dyDescent="0.3">
      <c r="A6" t="s">
        <v>97</v>
      </c>
      <c r="B6" s="3"/>
      <c r="D6" s="2" t="str">
        <f>IF(B6="","",INDEX(Ranking!$A$2:$A$61,MATCH(B6,Ranking!$B$2:$B$61,0)))</f>
        <v/>
      </c>
      <c r="E6" s="2" t="str">
        <f>IF(B6="","",INDEX(Ranking!$J$2:$J$61,MATCH(B6,Ranking!$B$2:$B$61,0)))</f>
        <v/>
      </c>
    </row>
    <row r="7" spans="1:8" x14ac:dyDescent="0.3">
      <c r="A7" t="s">
        <v>98</v>
      </c>
      <c r="B7" s="3"/>
      <c r="D7" s="2" t="str">
        <f>IF(B7="","",INDEX(Ranking!$A$2:$A$61,MATCH(B7,Ranking!$B$2:$B$61,0)))</f>
        <v/>
      </c>
      <c r="E7" s="2" t="str">
        <f>IF(B7="","",INDEX(Ranking!$J$2:$J$61,MATCH(B7,Ranking!$B$2:$B$61,0)))</f>
        <v/>
      </c>
    </row>
    <row r="9" spans="1:8" x14ac:dyDescent="0.3">
      <c r="A9" t="s">
        <v>99</v>
      </c>
      <c r="B9" s="3"/>
      <c r="D9" s="2" t="str">
        <f>IF(B9="","",INDEX(Ranking!$A$2:$A$61,MATCH(B9,Ranking!$B$2:$B$61,0)))</f>
        <v/>
      </c>
      <c r="E9" s="2" t="str">
        <f>IF(B9="","",INDEX(Ranking!$J$2:$J$61,MATCH(B9,Ranking!$B$2:$B$61,0)))</f>
        <v/>
      </c>
    </row>
    <row r="10" spans="1:8" x14ac:dyDescent="0.3">
      <c r="A10" t="s">
        <v>100</v>
      </c>
      <c r="B10" s="3"/>
      <c r="D10" s="2" t="str">
        <f>IF(B10="","",INDEX(Ranking!$A$2:$A$61,MATCH(B10,Ranking!$B$2:$B$61,0)))</f>
        <v/>
      </c>
      <c r="E10" s="2" t="str">
        <f>IF(B10="","",INDEX(Ranking!$J$2:$J$61,MATCH(B10,Ranking!$B$2:$B$61,0)))</f>
        <v/>
      </c>
    </row>
    <row r="12" spans="1:8" x14ac:dyDescent="0.3">
      <c r="D12" s="5" t="s">
        <v>101</v>
      </c>
      <c r="E12" s="2" t="str">
        <f>IF(OR(E6="",E7=""),"",E6+E7)</f>
        <v/>
      </c>
    </row>
    <row r="13" spans="1:8" x14ac:dyDescent="0.3">
      <c r="D13" s="5" t="s">
        <v>102</v>
      </c>
      <c r="E13" s="2" t="str">
        <f>IF(OR(E9="",E10=""),"",E9+E10)</f>
        <v/>
      </c>
    </row>
    <row r="15" spans="1:8" x14ac:dyDescent="0.3">
      <c r="A15" s="5" t="s">
        <v>103</v>
      </c>
    </row>
    <row r="16" spans="1:8" x14ac:dyDescent="0.3">
      <c r="A16" s="37" t="str">
        <f>IF(OR($B$6="",$B$7="",$B$9="",$B$10=""),"","PREVIA " &amp; $B$4 &amp; IF($B$3="",""," - " &amp; TEXT($B$3,"dd/mm/yyyy")) &amp; CHAR(10) &amp;"Equipo A: " &amp; $B$6 &amp; " (Pos " &amp; D6 &amp; ", " &amp; TEXT(E6,"0.00") &amp; " pts) + " &amp; $B$7 &amp; " (Pos " &amp; D7 &amp; ", " &amp; TEXT(E7,"0.00") &amp; " pts)" &amp; CHAR(10) &amp;"Equipo B: " &amp; $B$9 &amp; " (Pos " &amp; D9 &amp; ", " &amp; TEXT(E9,"0.00") &amp; " pts) + " &amp; $B$10 &amp; " (Pos " &amp; D10 &amp; ", " &amp; TEXT(E10,"0.00") &amp; " pts)" &amp; CHAR(10) &amp;"Totales: A " &amp; TEXT($E$12,"0.00") &amp; " | B " &amp; TEXT($E$13,"0.00"))</f>
        <v/>
      </c>
      <c r="B16" s="38"/>
      <c r="C16" s="38"/>
      <c r="D16" s="38"/>
      <c r="E16" s="38"/>
      <c r="F16" s="38"/>
      <c r="G16" s="38"/>
      <c r="H16" s="39"/>
    </row>
    <row r="17" spans="1:8" x14ac:dyDescent="0.3">
      <c r="A17" s="40"/>
      <c r="B17" s="31"/>
      <c r="C17" s="31"/>
      <c r="D17" s="31"/>
      <c r="E17" s="31"/>
      <c r="F17" s="31"/>
      <c r="G17" s="31"/>
      <c r="H17" s="41"/>
    </row>
    <row r="18" spans="1:8" x14ac:dyDescent="0.3">
      <c r="A18" s="40"/>
      <c r="B18" s="31"/>
      <c r="C18" s="31"/>
      <c r="D18" s="31"/>
      <c r="E18" s="31"/>
      <c r="F18" s="31"/>
      <c r="G18" s="31"/>
      <c r="H18" s="41"/>
    </row>
    <row r="19" spans="1:8" x14ac:dyDescent="0.3">
      <c r="A19" s="40"/>
      <c r="B19" s="31"/>
      <c r="C19" s="31"/>
      <c r="D19" s="31"/>
      <c r="E19" s="31"/>
      <c r="F19" s="31"/>
      <c r="G19" s="31"/>
      <c r="H19" s="41"/>
    </row>
    <row r="20" spans="1:8" x14ac:dyDescent="0.3">
      <c r="A20" s="40"/>
      <c r="B20" s="31"/>
      <c r="C20" s="31"/>
      <c r="D20" s="31"/>
      <c r="E20" s="31"/>
      <c r="F20" s="31"/>
      <c r="G20" s="31"/>
      <c r="H20" s="41"/>
    </row>
    <row r="21" spans="1:8" x14ac:dyDescent="0.3">
      <c r="A21" s="40"/>
      <c r="B21" s="31"/>
      <c r="C21" s="31"/>
      <c r="D21" s="31"/>
      <c r="E21" s="31"/>
      <c r="F21" s="31"/>
      <c r="G21" s="31"/>
      <c r="H21" s="41"/>
    </row>
    <row r="22" spans="1:8" x14ac:dyDescent="0.3">
      <c r="A22" s="42"/>
      <c r="B22" s="43"/>
      <c r="C22" s="43"/>
      <c r="D22" s="43"/>
      <c r="E22" s="43"/>
      <c r="F22" s="43"/>
      <c r="G22" s="43"/>
      <c r="H22" s="44"/>
    </row>
  </sheetData>
  <mergeCells count="2">
    <mergeCell ref="A16:H22"/>
    <mergeCell ref="A1:H1"/>
  </mergeCells>
  <dataValidations count="2">
    <dataValidation type="list" allowBlank="1" showErrorMessage="1" errorTitle="Jugador no permitido" error="Selecciona un jugador existente en la hoja 'Jugadores'." sqref="B6 B7 B9 B10" xr:uid="{00000000-0002-0000-0A00-000000000000}">
      <formula1>PlayersList</formula1>
    </dataValidation>
    <dataValidation type="list" allowBlank="1" sqref="B4" xr:uid="{00000000-0002-0000-0A00-000001000000}">
      <formula1>"Liga,Eliminatoria"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Ayuda</vt:lpstr>
      <vt:lpstr>Jugadores</vt:lpstr>
      <vt:lpstr>Partidos</vt:lpstr>
      <vt:lpstr>Ranking</vt:lpstr>
      <vt:lpstr>Ranking_Temporada</vt:lpstr>
      <vt:lpstr>Parejas</vt:lpstr>
      <vt:lpstr>Rivales</vt:lpstr>
      <vt:lpstr>Resumen</vt:lpstr>
      <vt:lpstr>Consulta</vt:lpstr>
      <vt:lpstr>Movil_Ranking</vt:lpstr>
      <vt:lpstr>Previa</vt:lpstr>
      <vt:lpstr>PlayersList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Yeray Armas Hernández</cp:lastModifiedBy>
  <dcterms:created xsi:type="dcterms:W3CDTF">2026-01-03T03:33:52Z</dcterms:created>
  <dcterms:modified xsi:type="dcterms:W3CDTF">2026-01-08T00:16:03Z</dcterms:modified>
</cp:coreProperties>
</file>